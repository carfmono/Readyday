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2831cf9d2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3675d68001384be6"/>
    <x:sheet xmlns:r="http://schemas.openxmlformats.org/officeDocument/2006/relationships" name="Daily_Log" sheetId="2" r:id="R27c9622d92f14355"/>
    <x:sheet xmlns:r="http://schemas.openxmlformats.org/officeDocument/2006/relationships" name="Dashboard" sheetId="3" r:id="Rffc66d226abc4489"/>
    <x:sheet xmlns:r="http://schemas.openxmlformats.org/officeDocument/2006/relationships" name="PowerBI_DAX" sheetId="4" r:id="Rada1ab018a84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yyyy-mm-dd"/>
  </x:numFmts>
  <x:fonts count="9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5"/>
      <x:color rgb="FFFFFF"/>
      <x:name val="Carlito"/>
    </x:font>
    <x:font>
      <x:b/>
      <x:sz val="10"/>
      <x:color rgb="FFFFFF"/>
      <x:name val="Carlito"/>
    </x:font>
    <x:font>
      <x:b/>
      <x:sz val="14"/>
      <x:color rgb="1F1F1F"/>
      <x:name val="Carlito"/>
    </x:font>
    <x:font>
      <x:b/>
      <x:sz val="11"/>
      <x:color rgb="1F1F1F"/>
      <x:name val="Carlito"/>
    </x:font>
    <x:font>
      <x:b/>
      <x:sz val="10"/>
      <x:color rgb="1F1F1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2" borderId="0" xfId="0" applyNumberFormat="1" applyFont="1" applyFill="0" applyBorder="1" applyAlignment="1">
      <x:alignment wrapText="1"/>
    </x:xf>
    <x:xf numFmtId="202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borderId="0" xfId="0" applyNumberFormat="1" applyFont="1" applyFill="0" applyBorder="1"/>
    <x:xf numFmtId="0" fontId="5" borderId="0" xfId="0" applyNumberFormat="1" applyFont="1" applyFill="0" applyBorder="1" applyAlignment="1">
      <x:alignment wrapText="1"/>
    </x:xf>
    <x:xf numFmtId="0" fontId="3" fillId="0" borderId="0" xfId="0" applyNumberFormat="1" applyFont="1" applyFill="1" applyBorder="1"/>
    <x:xf numFmtId="0" fontId="5" borderId="0" xfId="0" applyNumberFormat="1" applyFont="1" applyFill="0" applyBorder="1"/>
    <x:xf numFmtId="0" fontId="3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borderId="0" xfId="0" applyNumberFormat="1" applyFont="1" applyFill="0" applyBorder="1" applyAlignment="1">
      <x:alignment horizontal="center" vertical="center" wrapText="1"/>
    </x:xf>
    <x:xf numFmtId="0" fontId="4" borderId="0" xfId="0" applyNumberFormat="1" applyFont="1" applyFill="0" applyBorder="1" applyAlignment="1">
      <x:alignment horizontal="center" vertical="center" wrapText="1"/>
    </x:xf>
    <x:xf numFmtId="0" fontId="6" borderId="0" xfId="0" applyNumberFormat="1" applyFont="1" applyFill="0" applyBorder="1" applyAlignment="1">
      <x:alignment horizontal="center"/>
    </x:xf>
    <x:xf numFmtId="0" fontId="7" borderId="0" xfId="0" applyNumberFormat="1" applyFont="1" applyFill="0" applyBorder="1"/>
    <x:xf numFmtId="0" fontId="8" borderId="0" xfId="0" applyNumberFormat="1" applyFont="1" applyFill="0" applyBorder="1"/>
  </x:cellXfs>
  <x:cellStyles count="1">
    <x:cellStyle name="Normal" xfId="0"/>
  </x:cellStyles>
  <x:dxfs count="15">
    <x:dxf>
      <x:fill>
        <x:patternFill patternType="solid">
          <x:bgColor rgb="F7FBFF"/>
        </x:patternFill>
      </x:fill>
    </x:dxf>
    <x:dxf>
      <x:fill>
        <x:patternFill patternType="solid">
          <x:bgColor rgb="F7FBFF"/>
        </x:patternFill>
      </x:fill>
    </x:dxf>
    <x:dxf>
      <x:font>
        <x:b/>
        <x:color rgb="7F0000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FFFFFF"/>
      </x:font>
      <x:fill>
        <x:patternFill patternType="solid">
          <x:bgColor rgb="C00000"/>
        </x:patternFill>
      </x:fill>
    </x:dxf>
    <x:dxf>
      <x:font>
        <x:b/>
        <x:color rgb="FFFFFF"/>
      </x:font>
      <x:fill>
        <x:patternFill patternType="solid">
          <x:bgColor rgb="BF9000"/>
        </x:patternFill>
      </x:fill>
    </x:dxf>
    <x:dxf>
      <x:font>
        <x:b/>
        <x:color rgb="FFFFFF"/>
      </x:font>
      <x:fill>
        <x:patternFill patternType="solid">
          <x:bgColor rgb="38761D"/>
        </x:patternFill>
      </x:fill>
    </x:dxf>
    <x:dxf>
      <x:font>
        <x:b/>
        <x:color rgb="7F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FFFFFF"/>
      </x:font>
      <x:fill>
        <x:patternFill patternType="solid">
          <x:bgColor rgb="C00000"/>
        </x:patternFill>
      </x:fill>
    </x:dxf>
    <x:dxf>
      <x:font>
        <x:b/>
        <x:color rgb="FFFFFF"/>
      </x:font>
      <x:fill>
        <x:patternFill patternType="solid">
          <x:bgColor rgb="BF9000"/>
        </x:patternFill>
      </x:fill>
    </x:dxf>
    <x:dxf>
      <x:font>
        <x:b/>
        <x:color rgb="FFFFFF"/>
      </x:font>
      <x:fill>
        <x:patternFill patternType="solid">
          <x:bgColor rgb="38761D"/>
        </x:patternFill>
      </x:fill>
    </x:dxf>
    <x:dxf>
      <x:font>
        <x:b/>
        <x:color rgb="7F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f6dbbb59a4028" /><Relationship Type="http://schemas.openxmlformats.org/officeDocument/2006/relationships/theme" Target="/xl/theme/theme1.xml" Id="Rd9179fcf29d74a88" /><Relationship Type="http://schemas.openxmlformats.org/officeDocument/2006/relationships/sharedStrings" Target="/xl/sharedStrings.xml" Id="R96c55f6d329149fa" /><Relationship Type="http://schemas.openxmlformats.org/officeDocument/2006/relationships/worksheet" Target="/xl/worksheets/sheet1.xml" Id="R3675d68001384be6" /><Relationship Type="http://schemas.openxmlformats.org/officeDocument/2006/relationships/worksheet" Target="/xl/worksheets/sheet2.xml" Id="R27c9622d92f14355" /><Relationship Type="http://schemas.openxmlformats.org/officeDocument/2006/relationships/worksheet" Target="/xl/worksheets/sheet3.xml" Id="Rffc66d226abc4489" /><Relationship Type="http://schemas.openxmlformats.org/officeDocument/2006/relationships/worksheet" Target="/xl/worksheets/sheet4.xml" Id="Rada1ab018a844511" /></Relationships>
</file>

<file path=xl/tables/table1.xml><?xml version="1.0" encoding="utf-8"?>
<x:table xmlns:x="http://schemas.openxmlformats.org/spreadsheetml/2006/main" id="1" name="DailyLogTable" displayName="DailyLogTable" ref="A1:S181" headerRowCount="1">
  <x:tableColumns count="19">
    <x:tableColumn id="1" name="Date"/>
    <x:tableColumn id="2" name="HRV"/>
    <x:tableColumn id="3" name="Body Battery AM"/>
    <x:tableColumn id="4" name="Sleep Score"/>
    <x:tableColumn id="5" name="Stress Avg"/>
    <x:tableColumn id="6" name="Workout Minutes"/>
    <x:tableColumn id="7" name="Intensity (0-3)"/>
    <x:tableColumn id="8" name="Late Caffeine (0/1)"/>
    <x:tableColumn id="9" name="Late Dinner (0/1)"/>
    <x:tableColumn id="10" name="Alcohol (0/1)"/>
    <x:tableColumn id="11" name="Sick/Travel (0/1)"/>
    <x:tableColumn id="12" name="Notes"/>
    <x:tableColumn id="13" name="HRV Score"/>
    <x:tableColumn id="14" name="Habit Penalty"/>
    <x:tableColumn id="15" name="Recovery Score"/>
    <x:tableColumn id="16" name="Strain Score"/>
    <x:tableColumn id="17" name="Balance"/>
    <x:tableColumn id="18" name="Recommendation"/>
    <x:tableColumn id="19" name="Day Color"/>
  </x:tableColumns>
  <x:tableStyleInfo name="TableStyleMedium2" showRowStripes="1"/>
</x:table>
</file>

<file path=xl/tables/table2.xml><?xml version="1.0" encoding="utf-8"?>
<x:table xmlns:x="http://schemas.openxmlformats.org/spreadsheetml/2006/main" id="1" name="PowerBIDax" displayName="PowerBIDax" ref="A3:C14" headerRowCount="1">
  <x:tableColumns count="3">
    <x:tableColumn id="1" name="Measure"/>
    <x:tableColumn id="2" name="DAX"/>
    <x:tableColumn id="3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a05d5f5b7a43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d8397ed1fe643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8" hidden="0" customWidth="1"/>
    <x:col min="4" max="4" width="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4" t="str">
        <x:v>Plantilla Garmin Venu 3 → Salud, rendimiento y longevidad</x:v>
      </x:c>
      <x:c r="B1" s="4"/>
      <x:c r="C1" s="4"/>
      <x:c r="D1" s="4"/>
      <x:c r="E1" s="4"/>
      <x:c r="F1" s="4"/>
      <x:c r="G1" s="4"/>
      <x:c r="H1" s="4"/>
    </x:row>
    <x:row r="3" ht="17.08984375" hidden="0" customHeight="1">
      <x:c r="A3" s="25" t="str">
        <x:v>Parámetro</x:v>
      </x:c>
      <x:c r="B3" s="25" t="str">
        <x:v>Valor inicial</x:v>
      </x:c>
      <x:c r="C3" s="25" t="str">
        <x:v>Uso</x:v>
      </x:c>
    </x:row>
    <x:row r="4" ht="34.1796875" hidden="0" customHeight="1">
      <x:c r="A4" s="12" t="str">
        <x:v>Baseline HRV</x:v>
      </x:c>
      <x:c r="B4" s="13" t="n">
        <x:v>52</x:v>
      </x:c>
      <x:c r="C4" s="12" t="str">
        <x:v>Promedio HRV de referencia. Ajústalo tras 2–3 semanas de datos.</x:v>
      </x:c>
    </x:row>
    <x:row r="5" ht="34.1796875" hidden="0" customHeight="1">
      <x:c r="A5" s="12" t="str">
        <x:v>Recovery Green Threshold</x:v>
      </x:c>
      <x:c r="B5" s="13" t="n">
        <x:v>70</x:v>
      </x:c>
      <x:c r="C5" s="12" t="str">
        <x:v>Si Recovery ≥ este valor, el cuerpo está listo para alta carga.</x:v>
      </x:c>
    </x:row>
    <x:row r="6" ht="34.1796875" hidden="0" customHeight="1">
      <x:c r="A6" s="12" t="str">
        <x:v>Recovery Yellow Threshold</x:v>
      </x:c>
      <x:c r="B6" s="13" t="n">
        <x:v>40</x:v>
      </x:c>
      <x:c r="C6" s="12" t="str">
        <x:v>Si Recovery &lt; este valor, mejor recuperación activa.</x:v>
      </x:c>
    </x:row>
    <x:row r="7" ht="17.08984375" hidden="0" customHeight="1">
      <x:c r="A7" s="12" t="str">
        <x:v>Workout Factor</x:v>
      </x:c>
      <x:c r="B7" s="14" t="n">
        <x:v>0.7</x:v>
      </x:c>
      <x:c r="C7" s="12" t="str">
        <x:v>Convierte minutos × intensidad en strain.</x:v>
      </x:c>
    </x:row>
    <x:row r="8" ht="17.08984375" hidden="0" customHeight="1">
      <x:c r="A8" s="12" t="str">
        <x:v>Stress Factor</x:v>
      </x:c>
      <x:c r="B8" s="14" t="n">
        <x:v>0.8</x:v>
      </x:c>
      <x:c r="C8" s="12" t="str">
        <x:v>Convierte el estrés diario en strain.</x:v>
      </x:c>
    </x:row>
    <x:row r="9" ht="17.08984375" hidden="0" customHeight="1">
      <x:c r="A9" s="12" t="str">
        <x:v>Late Caffeine Penalty</x:v>
      </x:c>
      <x:c r="B9" s="14" t="n">
        <x:v>5</x:v>
      </x:c>
      <x:c r="C9" s="12" t="str">
        <x:v>Penalización por café tarde (0/1).</x:v>
      </x:c>
    </x:row>
    <x:row r="10" ht="17.08984375" hidden="0" customHeight="1">
      <x:c r="A10" s="12" t="str">
        <x:v>Late Dinner Penalty</x:v>
      </x:c>
      <x:c r="B10" s="14" t="n">
        <x:v>5</x:v>
      </x:c>
      <x:c r="C10" s="12" t="str">
        <x:v>Penalización por cena tarde (0/1).</x:v>
      </x:c>
    </x:row>
    <x:row r="11" ht="17.08984375" hidden="0" customHeight="1">
      <x:c r="A11" s="12" t="str">
        <x:v>Alcohol Penalty</x:v>
      </x:c>
      <x:c r="B11" s="14" t="n">
        <x:v>8</x:v>
      </x:c>
      <x:c r="C11" s="12" t="str">
        <x:v>Penalización por alcohol (0/1).</x:v>
      </x:c>
    </x:row>
    <x:row r="12" ht="17.08984375" hidden="0" customHeight="1">
      <x:c r="A12" s="12" t="str">
        <x:v>Sick or Travel Penalty</x:v>
      </x:c>
      <x:c r="B12" s="14" t="n">
        <x:v>10</x:v>
      </x:c>
      <x:c r="C12" s="12" t="str">
        <x:v>Penalización por enfermedad, jet lag o viaje (0/1).</x:v>
      </x:c>
    </x:row>
    <x:row r="13" ht="51.26953125" hidden="0" customHeight="1">
      <x:c r="A13" s="12" t="str">
        <x:v>Morning capture</x:v>
      </x:c>
      <x:c r="B13" s="12" t="str">
        <x:v>HRV + Body Battery + Sleep Score</x:v>
      </x:c>
      <x:c r="C13" s="12" t="str">
        <x:v>Registrar al despertar.</x:v>
      </x:c>
    </x:row>
    <x:row r="14" ht="34.1796875" hidden="0" customHeight="1">
      <x:c r="A14" s="12" t="str">
        <x:v>Night capture</x:v>
      </x:c>
      <x:c r="B14" s="12" t="str">
        <x:v>Stress + Workout + Habits</x:v>
      </x:c>
      <x:c r="C14" s="12" t="str">
        <x:v>Registrar al terminar el día.</x:v>
      </x:c>
    </x:row>
    <x:row r="15" ht="68.359375" hidden="0" customHeight="1">
      <x:c r="A15" s="12" t="str">
        <x:v>Intensity scale</x:v>
      </x:c>
      <x:c r="B15" s="12" t="str">
        <x:v>0=Descanso, 1=Suave, 2=Moderado, 3=Intenso</x:v>
      </x:c>
      <x:c r="C15" s="12" t="str">
        <x:v>Usar en Daily_Log.</x:v>
      </x:c>
    </x:row>
    <x:row r="16" ht="17.08984375" hidden="0" customHeight="1">
      <x:c r="A16" s="26"/>
      <x:c r="B16" s="26"/>
      <x:c r="C16" s="26"/>
    </x:row>
    <x:row r="17" ht="17.08984375" hidden="0" customHeight="1">
      <x:c r="A17" s="27" t="str">
        <x:v>Lectura rápida de la lógica</x:v>
      </x:c>
      <x:c r="B17" s="27"/>
      <x:c r="C17" s="27"/>
      <x:c r="D17" s="11"/>
      <x:c r="E17" s="11"/>
      <x:c r="F17" s="11"/>
      <x:c r="G17" s="11"/>
      <x:c r="H17" s="11"/>
    </x:row>
    <x:row r="18" ht="34.1796875" hidden="0" customHeight="1">
      <x:c r="A18" s="12" t="str">
        <x:v>1</x:v>
      </x:c>
      <x:c r="B18" s="12" t="str">
        <x:v>Recovery</x:v>
      </x:c>
      <x:c r="C18" s="12" t="str">
        <x:v>0.4 × HRV Score + 0.3 × Body Battery + 0.3 × Sleep Score − Habit Penalty</x:v>
      </x:c>
    </x:row>
    <x:row r="19" ht="34.1796875" hidden="0" customHeight="1">
      <x:c r="A19" s="12" t="str">
        <x:v>2</x:v>
      </x:c>
      <x:c r="B19" s="12" t="str">
        <x:v>Strain</x:v>
      </x:c>
      <x:c r="C19" s="12" t="str">
        <x:v>(Workout Minutes × Intensity × Workout Factor) + (Stress Avg × Stress Factor)</x:v>
      </x:c>
    </x:row>
    <x:row r="20" ht="17.08984375" hidden="0" customHeight="1">
      <x:c r="A20" s="12" t="str">
        <x:v>3</x:v>
      </x:c>
      <x:c r="B20" s="12" t="str">
        <x:v>Balance</x:v>
      </x:c>
      <x:c r="C20" s="12" t="str">
        <x:v>Recovery − (Strain / 2)</x:v>
      </x:c>
    </x:row>
    <x:row r="21" ht="51.26953125" hidden="0" customHeight="1">
      <x:c r="A21" s="12" t="str">
        <x:v>4</x:v>
      </x:c>
      <x:c r="B21" s="12" t="str">
        <x:v>Recommendation</x:v>
      </x:c>
      <x:c r="C21" s="12" t="str">
        <x:v>Rojo si Recovery &lt; 40 o Balance &lt; 0; Amarillo si Recovery entre 40–69; Verde si Recovery ≥ 70 y Balance positivo</x:v>
      </x:c>
    </x:row>
  </x:sheetData>
  <x:mergeCells>
    <x:mergeCell ref="A1:H1"/>
    <x:mergeCell ref="A17:H17"/>
  </x:mergeCells>
  <x:conditionalFormatting sqref="A4:C15">
    <x:cfRule type="expression" dxfId="0" priority="1">
      <x:formula>MOD(ROW(),2)=0</x:formula>
    </x:cfRule>
  </x:conditionalFormatting>
  <x:conditionalFormatting sqref="A18:C21">
    <x:cfRule type="expression" dxfId="1" priority="2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12" hidden="0" customWidth="1"/>
    <x:col min="5" max="5" width="10" hidden="0" customWidth="1"/>
    <x:col min="6" max="6" width="14" hidden="0" customWidth="1"/>
    <x:col min="7" max="7" width="13" hidden="0" customWidth="1"/>
    <x:col min="8" max="8" width="15" hidden="0" customWidth="1"/>
    <x:col min="9" max="9" width="15" hidden="0" customWidth="1"/>
    <x:col min="10" max="10" width="12" hidden="0" customWidth="1"/>
    <x:col min="11" max="11" width="15" hidden="0" customWidth="1"/>
    <x:col min="12" max="12" width="28" hidden="0" customWidth="1"/>
    <x:col min="13" max="13" width="11" hidden="0" customWidth="1"/>
    <x:col min="14" max="14" width="12" hidden="0" customWidth="1"/>
    <x:col min="15" max="15" width="14" hidden="0" customWidth="1"/>
    <x:col min="16" max="16" width="12" hidden="0" customWidth="1"/>
    <x:col min="17" max="17" width="10" hidden="0" customWidth="1"/>
    <x:col min="18" max="18" width="32" hidden="0" customWidth="1"/>
    <x:col min="19" max="19" width="10" hidden="0" customWidth="1"/>
  </x:cols>
  <x:sheetData>
    <x:row r="1">
      <x:c r="A1" s="7" t="str">
        <x:v>Date</x:v>
      </x:c>
      <x:c r="B1" s="16" t="str">
        <x:v>HRV</x:v>
      </x:c>
      <x:c r="C1" s="16" t="str">
        <x:v>Body Battery AM</x:v>
      </x:c>
      <x:c r="D1" s="16" t="str">
        <x:v>Sleep Score</x:v>
      </x:c>
      <x:c r="E1" s="16" t="str">
        <x:v>Stress Avg</x:v>
      </x:c>
      <x:c r="F1" s="16" t="str">
        <x:v>Workout Minutes</x:v>
      </x:c>
      <x:c r="G1" s="16" t="str">
        <x:v>Intensity (0-3)</x:v>
      </x:c>
      <x:c r="H1" s="16" t="str">
        <x:v>Late Caffeine (0/1)</x:v>
      </x:c>
      <x:c r="I1" s="16" t="str">
        <x:v>Late Dinner (0/1)</x:v>
      </x:c>
      <x:c r="J1" s="16" t="str">
        <x:v>Alcohol (0/1)</x:v>
      </x:c>
      <x:c r="K1" s="16" t="str">
        <x:v>Sick/Travel (0/1)</x:v>
      </x:c>
      <x:c r="L1" s="7" t="str">
        <x:v>Notes</x:v>
      </x:c>
      <x:c r="M1" s="16" t="str">
        <x:v>HRV Score</x:v>
      </x:c>
      <x:c r="N1" s="16" t="str">
        <x:v>Habit Penalty</x:v>
      </x:c>
      <x:c r="O1" s="16" t="str">
        <x:v>Recovery Score</x:v>
      </x:c>
      <x:c r="P1" s="16" t="str">
        <x:v>Strain Score</x:v>
      </x:c>
      <x:c r="Q1" s="16" t="str">
        <x:v>Balance</x:v>
      </x:c>
      <x:c r="R1" s="7" t="str">
        <x:v>Recommendation</x:v>
      </x:c>
      <x:c r="S1" s="7" t="str">
        <x:v>Day Color</x:v>
      </x:c>
    </x:row>
    <x:row r="2">
      <x:c r="A2" s="17" t="str">
        <x:v>2026-04-01</x:v>
      </x:c>
      <x:c r="B2" s="18" t="n">
        <x:v>56</x:v>
      </x:c>
      <x:c r="C2" s="18" t="n">
        <x:v>78</x:v>
      </x:c>
      <x:c r="D2" s="18" t="n">
        <x:v>82</x:v>
      </x:c>
      <x:c r="E2" s="18" t="n">
        <x:v>28</x:v>
      </x:c>
      <x:c r="F2" s="18" t="n">
        <x:v>45</x:v>
      </x:c>
      <x:c r="G2" s="18" t="n">
        <x:v>2</x:v>
      </x:c>
      <x:c r="H2" s="18" t="n">
        <x:v>0</x:v>
      </x:c>
      <x:c r="I2" s="18" t="n">
        <x:v>0</x:v>
      </x:c>
      <x:c r="J2" s="18" t="n">
        <x:v>0</x:v>
      </x:c>
      <x:c r="K2" s="18" t="n">
        <x:v>0</x:v>
      </x:c>
      <x:c r="L2" s="18" t="str">
        <x:v>Zona 2</x:v>
      </x:c>
      <x:c r="M2" s="18" t="n">
        <x:f>IF(B2="","",MIN(100,MAX(0,50+((B2-Setup!$B$4)/MAX(Setup!$B$4,1))*200)))</x:f>
        <x:v>65.38461538461539</x:v>
      </x:c>
      <x:c r="N2" s="18" t="n">
        <x:f>IF(A2="","",(H2*Setup!$B$9)+(I2*Setup!$B$10)+(J2*Setup!$B$11)+(K2*Setup!$B$12))</x:f>
        <x:v>0</x:v>
      </x:c>
      <x:c r="O2" s="18" t="n">
        <x:f>IF(A2="","",ROUND((0.4*M2)+(0.3*C2)+(0.3*D2)-N2,0))</x:f>
        <x:v>74</x:v>
      </x:c>
      <x:c r="P2" s="18" t="n">
        <x:f>IF(A2="","",ROUND((F2*G2*Setup!$B$7)+(E2*Setup!$B$8),0))</x:f>
        <x:v>85</x:v>
      </x:c>
      <x:c r="Q2" s="18" t="n">
        <x:f>IF(A2="","",ROUND(O2-(P2/2),0))</x:f>
        <x:v>32</x:v>
      </x:c>
      <x:c r="R2" s="18" t="str">
        <x:f>IF(A2="","",IF(OR(O2&lt;Setup!$B$6,Q2&lt;0),"Recuperación activa / descanso",IF(O2&lt;Setup!$B$5,"Entrenamiento moderado","Entrena fuerte / alto rendimiento")))</x:f>
        <x:v>Entrena fuerte / alto rendimiento</x:v>
      </x:c>
      <x:c r="S2" s="18" t="str">
        <x:f>IF(A2="","",IF(OR(O2&lt;Setup!$B$6,Q2&lt;0),"Rojo",IF(O2&lt;Setup!$B$5,"Amarillo","Verde")))</x:f>
        <x:v>Verde</x:v>
      </x:c>
    </x:row>
    <x:row r="3">
      <x:c r="A3" s="17" t="str">
        <x:v>2026-04-02</x:v>
      </x:c>
      <x:c r="B3" s="18" t="n">
        <x:v>58</x:v>
      </x:c>
      <x:c r="C3" s="18" t="n">
        <x:v>81</x:v>
      </x:c>
      <x:c r="D3" s="18" t="n">
        <x:v>85</x:v>
      </x:c>
      <x:c r="E3" s="18" t="n">
        <x:v>24</x:v>
      </x:c>
      <x:c r="F3" s="18" t="n">
        <x:v>50</x:v>
      </x:c>
      <x:c r="G3" s="18" t="n">
        <x:v>2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str">
        <x:v>Fuerza tren superior</x:v>
      </x:c>
      <x:c r="M3" s="18" t="n">
        <x:f>IF(B3="","",MIN(100,MAX(0,50+((B3-Setup!$B$4)/MAX(Setup!$B$4,1))*200)))</x:f>
        <x:v>73.07692307692308</x:v>
      </x:c>
      <x:c r="N3" s="18" t="n">
        <x:f>IF(A3="","",(H3*Setup!$B$9)+(I3*Setup!$B$10)+(J3*Setup!$B$11)+(K3*Setup!$B$12))</x:f>
        <x:v>0</x:v>
      </x:c>
      <x:c r="O3" s="18" t="n">
        <x:f>IF(A3="","",ROUND((0.4*M3)+(0.3*C3)+(0.3*D3)-N3,0))</x:f>
        <x:v>79</x:v>
      </x:c>
      <x:c r="P3" s="18" t="n">
        <x:f>IF(A3="","",ROUND((F3*G3*Setup!$B$7)+(E3*Setup!$B$8),0))</x:f>
        <x:v>89</x:v>
      </x:c>
      <x:c r="Q3" s="18" t="n">
        <x:f>IF(A3="","",ROUND(O3-(P3/2),0))</x:f>
        <x:v>35</x:v>
      </x:c>
      <x:c r="R3" s="18" t="str">
        <x:f>IF(A3="","",IF(OR(O3&lt;Setup!$B$6,Q3&lt;0),"Recuperación activa / descanso",IF(O3&lt;Setup!$B$5,"Entrenamiento moderado","Entrena fuerte / alto rendimiento")))</x:f>
        <x:v>Entrena fuerte / alto rendimiento</x:v>
      </x:c>
      <x:c r="S3" s="18" t="str">
        <x:f>IF(A3="","",IF(OR(O3&lt;Setup!$B$6,Q3&lt;0),"Rojo",IF(O3&lt;Setup!$B$5,"Amarillo","Verde")))</x:f>
        <x:v>Verde</x:v>
      </x:c>
    </x:row>
    <x:row r="4">
      <x:c r="A4" s="17" t="str">
        <x:v>2026-04-03</x:v>
      </x:c>
      <x:c r="B4" s="18" t="n">
        <x:v>52</x:v>
      </x:c>
      <x:c r="C4" s="18" t="n">
        <x:v>69</x:v>
      </x:c>
      <x:c r="D4" s="18" t="n">
        <x:v>74</x:v>
      </x:c>
      <x:c r="E4" s="18" t="n">
        <x:v>35</x:v>
      </x:c>
      <x:c r="F4" s="18" t="n">
        <x:v>30</x:v>
      </x:c>
      <x:c r="G4" s="18" t="n">
        <x:v>1</x:v>
      </x:c>
      <x:c r="H4" s="18" t="n">
        <x:v>0</x:v>
      </x:c>
      <x:c r="I4" s="18" t="n">
        <x:v>1</x:v>
      </x:c>
      <x:c r="J4" s="18" t="n">
        <x:v>0</x:v>
      </x:c>
      <x:c r="K4" s="18" t="n">
        <x:v>0</x:v>
      </x:c>
      <x:c r="L4" s="18" t="str">
        <x:v>Cena tarde</x:v>
      </x:c>
      <x:c r="M4" s="18" t="n">
        <x:f>IF(B4="","",MIN(100,MAX(0,50+((B4-Setup!$B$4)/MAX(Setup!$B$4,1))*200)))</x:f>
        <x:v>50</x:v>
      </x:c>
      <x:c r="N4" s="18" t="n">
        <x:f>IF(A4="","",(H4*Setup!$B$9)+(I4*Setup!$B$10)+(J4*Setup!$B$11)+(K4*Setup!$B$12))</x:f>
        <x:v>5</x:v>
      </x:c>
      <x:c r="O4" s="18" t="n">
        <x:f>IF(A4="","",ROUND((0.4*M4)+(0.3*C4)+(0.3*D4)-N4,0))</x:f>
        <x:v>58</x:v>
      </x:c>
      <x:c r="P4" s="18" t="n">
        <x:f>IF(A4="","",ROUND((F4*G4*Setup!$B$7)+(E4*Setup!$B$8),0))</x:f>
        <x:v>49</x:v>
      </x:c>
      <x:c r="Q4" s="18" t="n">
        <x:f>IF(A4="","",ROUND(O4-(P4/2),0))</x:f>
        <x:v>34</x:v>
      </x:c>
      <x:c r="R4" s="18" t="str">
        <x:f>IF(A4="","",IF(OR(O4&lt;Setup!$B$6,Q4&lt;0),"Recuperación activa / descanso",IF(O4&lt;Setup!$B$5,"Entrenamiento moderado","Entrena fuerte / alto rendimiento")))</x:f>
        <x:v>Entrenamiento moderado</x:v>
      </x:c>
      <x:c r="S4" s="18" t="str">
        <x:f>IF(A4="","",IF(OR(O4&lt;Setup!$B$6,Q4&lt;0),"Rojo",IF(O4&lt;Setup!$B$5,"Amarillo","Verde")))</x:f>
        <x:v>Amarillo</x:v>
      </x:c>
    </x:row>
    <x:row r="5">
      <x:c r="A5" s="17" t="str">
        <x:v>2026-04-04</x:v>
      </x:c>
      <x:c r="B5" s="18" t="n">
        <x:v>49</x:v>
      </x:c>
      <x:c r="C5" s="18" t="n">
        <x:v>55</x:v>
      </x:c>
      <x:c r="D5" s="18" t="n">
        <x:v>68</x:v>
      </x:c>
      <x:c r="E5" s="18" t="n">
        <x:v>42</x:v>
      </x:c>
      <x:c r="F5" s="18" t="n">
        <x:v>20</x:v>
      </x:c>
      <x:c r="G5" s="18" t="n">
        <x:v>1</x:v>
      </x:c>
      <x:c r="H5" s="18" t="n">
        <x:v>1</x:v>
      </x:c>
      <x:c r="I5" s="18" t="n">
        <x:v>1</x:v>
      </x:c>
      <x:c r="J5" s="18" t="n">
        <x:v>0</x:v>
      </x:c>
      <x:c r="K5" s="18" t="n">
        <x:v>0</x:v>
      </x:c>
      <x:c r="L5" s="18" t="str">
        <x:v>Mucho trabajo</x:v>
      </x:c>
      <x:c r="M5" s="18" t="n">
        <x:f>IF(B5="","",MIN(100,MAX(0,50+((B5-Setup!$B$4)/MAX(Setup!$B$4,1))*200)))</x:f>
        <x:v>38.46153846153846</x:v>
      </x:c>
      <x:c r="N5" s="18" t="n">
        <x:f>IF(A5="","",(H5*Setup!$B$9)+(I5*Setup!$B$10)+(J5*Setup!$B$11)+(K5*Setup!$B$12))</x:f>
        <x:v>10</x:v>
      </x:c>
      <x:c r="O5" s="18" t="n">
        <x:f>IF(A5="","",ROUND((0.4*M5)+(0.3*C5)+(0.3*D5)-N5,0))</x:f>
        <x:v>42</x:v>
      </x:c>
      <x:c r="P5" s="18" t="n">
        <x:f>IF(A5="","",ROUND((F5*G5*Setup!$B$7)+(E5*Setup!$B$8),0))</x:f>
        <x:v>48</x:v>
      </x:c>
      <x:c r="Q5" s="18" t="n">
        <x:f>IF(A5="","",ROUND(O5-(P5/2),0))</x:f>
        <x:v>18</x:v>
      </x:c>
      <x:c r="R5" s="18" t="str">
        <x:f>IF(A5="","",IF(OR(O5&lt;Setup!$B$6,Q5&lt;0),"Recuperación activa / descanso",IF(O5&lt;Setup!$B$5,"Entrenamiento moderado","Entrena fuerte / alto rendimiento")))</x:f>
        <x:v>Entrenamiento moderado</x:v>
      </x:c>
      <x:c r="S5" s="18" t="str">
        <x:f>IF(A5="","",IF(OR(O5&lt;Setup!$B$6,Q5&lt;0),"Rojo",IF(O5&lt;Setup!$B$5,"Amarillo","Verde")))</x:f>
        <x:v>Amarillo</x:v>
      </x:c>
    </x:row>
    <x:row r="6">
      <x:c r="A6" s="17" t="str">
        <x:v>2026-04-05</x:v>
      </x:c>
      <x:c r="B6" s="18" t="n">
        <x:v>47</x:v>
      </x:c>
      <x:c r="C6" s="18" t="n">
        <x:v>44</x:v>
      </x:c>
      <x:c r="D6" s="18" t="n">
        <x:v>59</x:v>
      </x:c>
      <x:c r="E6" s="18" t="n">
        <x:v>55</x:v>
      </x:c>
      <x:c r="F6" s="18" t="n">
        <x:v>0</x:v>
      </x:c>
      <x:c r="G6" s="18" t="n">
        <x:v>0</x:v>
      </x:c>
      <x:c r="H6" s="18" t="n">
        <x:v>1</x:v>
      </x:c>
      <x:c r="I6" s="18" t="n">
        <x:v>0</x:v>
      </x:c>
      <x:c r="J6" s="18" t="n">
        <x:v>1</x:v>
      </x:c>
      <x:c r="K6" s="18" t="n">
        <x:v>0</x:v>
      </x:c>
      <x:c r="L6" s="18" t="str">
        <x:v>Alcohol</x:v>
      </x:c>
      <x:c r="M6" s="18" t="n">
        <x:f>IF(B6="","",MIN(100,MAX(0,50+((B6-Setup!$B$4)/MAX(Setup!$B$4,1))*200)))</x:f>
        <x:v>30.769230769230766</x:v>
      </x:c>
      <x:c r="N6" s="18" t="n">
        <x:f>IF(A6="","",(H6*Setup!$B$9)+(I6*Setup!$B$10)+(J6*Setup!$B$11)+(K6*Setup!$B$12))</x:f>
        <x:v>13</x:v>
      </x:c>
      <x:c r="O6" s="18" t="n">
        <x:f>IF(A6="","",ROUND((0.4*M6)+(0.3*C6)+(0.3*D6)-N6,0))</x:f>
        <x:v>30</x:v>
      </x:c>
      <x:c r="P6" s="18" t="n">
        <x:f>IF(A6="","",ROUND((F6*G6*Setup!$B$7)+(E6*Setup!$B$8),0))</x:f>
        <x:v>44</x:v>
      </x:c>
      <x:c r="Q6" s="18" t="n">
        <x:f>IF(A6="","",ROUND(O6-(P6/2),0))</x:f>
        <x:v>8</x:v>
      </x:c>
      <x:c r="R6" s="18" t="str">
        <x:f>IF(A6="","",IF(OR(O6&lt;Setup!$B$6,Q6&lt;0),"Recuperación activa / descanso",IF(O6&lt;Setup!$B$5,"Entrenamiento moderado","Entrena fuerte / alto rendimiento")))</x:f>
        <x:v>Recuperación activa / descanso</x:v>
      </x:c>
      <x:c r="S6" s="18" t="str">
        <x:f>IF(A6="","",IF(OR(O6&lt;Setup!$B$6,Q6&lt;0),"Rojo",IF(O6&lt;Setup!$B$5,"Amarillo","Verde")))</x:f>
        <x:v>Rojo</x:v>
      </x:c>
    </x:row>
    <x:row r="7">
      <x:c r="A7" s="17" t="str">
        <x:v>2026-04-06</x:v>
      </x:c>
      <x:c r="B7" s="18" t="n">
        <x:v>51</x:v>
      </x:c>
      <x:c r="C7" s="18" t="n">
        <x:v>62</x:v>
      </x:c>
      <x:c r="D7" s="18" t="n">
        <x:v>71</x:v>
      </x:c>
      <x:c r="E7" s="18" t="n">
        <x:v>33</x:v>
      </x:c>
      <x:c r="F7" s="18" t="n">
        <x:v>35</x:v>
      </x:c>
      <x:c r="G7" s="18" t="n">
        <x:v>2</x:v>
      </x:c>
      <x:c r="H7" s="18" t="n">
        <x:v>0</x:v>
      </x:c>
      <x:c r="I7" s="18" t="n">
        <x:v>0</x:v>
      </x:c>
      <x:c r="J7" s="18" t="n">
        <x:v>0</x:v>
      </x:c>
      <x:c r="K7" s="18" t="n">
        <x:v>0</x:v>
      </x:c>
      <x:c r="L7" s="18" t="str">
        <x:v>Recuperación</x:v>
      </x:c>
      <x:c r="M7" s="18" t="n">
        <x:f>IF(B7="","",MIN(100,MAX(0,50+((B7-Setup!$B$4)/MAX(Setup!$B$4,1))*200)))</x:f>
        <x:v>46.15384615384615</x:v>
      </x:c>
      <x:c r="N7" s="18" t="n">
        <x:f>IF(A7="","",(H7*Setup!$B$9)+(I7*Setup!$B$10)+(J7*Setup!$B$11)+(K7*Setup!$B$12))</x:f>
        <x:v>0</x:v>
      </x:c>
      <x:c r="O7" s="18" t="n">
        <x:f>IF(A7="","",ROUND((0.4*M7)+(0.3*C7)+(0.3*D7)-N7,0))</x:f>
        <x:v>58</x:v>
      </x:c>
      <x:c r="P7" s="18" t="n">
        <x:f>IF(A7="","",ROUND((F7*G7*Setup!$B$7)+(E7*Setup!$B$8),0))</x:f>
        <x:v>75</x:v>
      </x:c>
      <x:c r="Q7" s="18" t="n">
        <x:f>IF(A7="","",ROUND(O7-(P7/2),0))</x:f>
        <x:v>21</x:v>
      </x:c>
      <x:c r="R7" s="18" t="str">
        <x:f>IF(A7="","",IF(OR(O7&lt;Setup!$B$6,Q7&lt;0),"Recuperación activa / descanso",IF(O7&lt;Setup!$B$5,"Entrenamiento moderado","Entrena fuerte / alto rendimiento")))</x:f>
        <x:v>Entrenamiento moderado</x:v>
      </x:c>
      <x:c r="S7" s="18" t="str">
        <x:f>IF(A7="","",IF(OR(O7&lt;Setup!$B$6,Q7&lt;0),"Rojo",IF(O7&lt;Setup!$B$5,"Amarillo","Verde")))</x:f>
        <x:v>Amarillo</x:v>
      </x:c>
    </x:row>
    <x:row r="8">
      <x:c r="A8" s="17" t="str">
        <x:v>2026-04-07</x:v>
      </x:c>
      <x:c r="B8" s="18" t="n">
        <x:v>54</x:v>
      </x:c>
      <x:c r="C8" s="18" t="n">
        <x:v>73</x:v>
      </x:c>
      <x:c r="D8" s="18" t="n">
        <x:v>79</x:v>
      </x:c>
      <x:c r="E8" s="18" t="n">
        <x:v>26</x:v>
      </x:c>
      <x:c r="F8" s="18" t="n">
        <x:v>45</x:v>
      </x:c>
      <x:c r="G8" s="18" t="n">
        <x:v>2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str">
        <x:v>Run suave</x:v>
      </x:c>
      <x:c r="M8" s="18" t="n">
        <x:f>IF(B8="","",MIN(100,MAX(0,50+((B8-Setup!$B$4)/MAX(Setup!$B$4,1))*200)))</x:f>
        <x:v>57.69230769230769</x:v>
      </x:c>
      <x:c r="N8" s="18" t="n">
        <x:f>IF(A8="","",(H8*Setup!$B$9)+(I8*Setup!$B$10)+(J8*Setup!$B$11)+(K8*Setup!$B$12))</x:f>
        <x:v>0</x:v>
      </x:c>
      <x:c r="O8" s="18" t="n">
        <x:f>IF(A8="","",ROUND((0.4*M8)+(0.3*C8)+(0.3*D8)-N8,0))</x:f>
        <x:v>69</x:v>
      </x:c>
      <x:c r="P8" s="18" t="n">
        <x:f>IF(A8="","",ROUND((F8*G8*Setup!$B$7)+(E8*Setup!$B$8),0))</x:f>
        <x:v>84</x:v>
      </x:c>
      <x:c r="Q8" s="18" t="n">
        <x:f>IF(A8="","",ROUND(O8-(P8/2),0))</x:f>
        <x:v>27</x:v>
      </x:c>
      <x:c r="R8" s="18" t="str">
        <x:f>IF(A8="","",IF(OR(O8&lt;Setup!$B$6,Q8&lt;0),"Recuperación activa / descanso",IF(O8&lt;Setup!$B$5,"Entrenamiento moderado","Entrena fuerte / alto rendimiento")))</x:f>
        <x:v>Entrenamiento moderado</x:v>
      </x:c>
      <x:c r="S8" s="18" t="str">
        <x:f>IF(A8="","",IF(OR(O8&lt;Setup!$B$6,Q8&lt;0),"Rojo",IF(O8&lt;Setup!$B$5,"Amarillo","Verde")))</x:f>
        <x:v>Amarillo</x:v>
      </x:c>
    </x:row>
    <x:row r="9">
      <x:c r="A9" s="17" t="str">
        <x:v>2026-04-08</x:v>
      </x:c>
      <x:c r="B9" s="18" t="n">
        <x:v>57</x:v>
      </x:c>
      <x:c r="C9" s="18" t="n">
        <x:v>80</x:v>
      </x:c>
      <x:c r="D9" s="18" t="n">
        <x:v>84</x:v>
      </x:c>
      <x:c r="E9" s="18" t="n">
        <x:v>22</x:v>
      </x:c>
      <x:c r="F9" s="18" t="n">
        <x:v>45</x:v>
      </x:c>
      <x:c r="G9" s="18" t="n">
        <x:v>3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str">
        <x:v>HIIT corto</x:v>
      </x:c>
      <x:c r="M9" s="18" t="n">
        <x:f>IF(B9="","",MIN(100,MAX(0,50+((B9-Setup!$B$4)/MAX(Setup!$B$4,1))*200)))</x:f>
        <x:v>69.23076923076923</x:v>
      </x:c>
      <x:c r="N9" s="18" t="n">
        <x:f>IF(A9="","",(H9*Setup!$B$9)+(I9*Setup!$B$10)+(J9*Setup!$B$11)+(K9*Setup!$B$12))</x:f>
        <x:v>0</x:v>
      </x:c>
      <x:c r="O9" s="18" t="n">
        <x:f>IF(A9="","",ROUND((0.4*M9)+(0.3*C9)+(0.3*D9)-N9,0))</x:f>
        <x:v>77</x:v>
      </x:c>
      <x:c r="P9" s="18" t="n">
        <x:f>IF(A9="","",ROUND((F9*G9*Setup!$B$7)+(E9*Setup!$B$8),0))</x:f>
        <x:v>112</x:v>
      </x:c>
      <x:c r="Q9" s="18" t="n">
        <x:f>IF(A9="","",ROUND(O9-(P9/2),0))</x:f>
        <x:v>21</x:v>
      </x:c>
      <x:c r="R9" s="18" t="str">
        <x:f>IF(A9="","",IF(OR(O9&lt;Setup!$B$6,Q9&lt;0),"Recuperación activa / descanso",IF(O9&lt;Setup!$B$5,"Entrenamiento moderado","Entrena fuerte / alto rendimiento")))</x:f>
        <x:v>Entrena fuerte / alto rendimiento</x:v>
      </x:c>
      <x:c r="S9" s="18" t="str">
        <x:f>IF(A9="","",IF(OR(O9&lt;Setup!$B$6,Q9&lt;0),"Rojo",IF(O9&lt;Setup!$B$5,"Amarillo","Verde")))</x:f>
        <x:v>Verde</x:v>
      </x:c>
    </x:row>
    <x:row r="10">
      <x:c r="A10" s="17" t="str">
        <x:v>2026-04-09</x:v>
      </x:c>
      <x:c r="B10" s="18" t="n">
        <x:v>53</x:v>
      </x:c>
      <x:c r="C10" s="18" t="n">
        <x:v>66</x:v>
      </x:c>
      <x:c r="D10" s="18" t="n">
        <x:v>72</x:v>
      </x:c>
      <x:c r="E10" s="18" t="n">
        <x:v>31</x:v>
      </x:c>
      <x:c r="F10" s="18" t="n">
        <x:v>35</x:v>
      </x:c>
      <x:c r="G10" s="18" t="n">
        <x:v>2</x:v>
      </x:c>
      <x:c r="H10" s="18" t="n">
        <x:v>0</x:v>
      </x:c>
      <x:c r="I10" s="18" t="n">
        <x:v>0</x:v>
      </x:c>
      <x:c r="J10" s="18" t="n">
        <x:v>0</x:v>
      </x:c>
      <x:c r="K10" s="18" t="n">
        <x:v>0</x:v>
      </x:c>
      <x:c r="L10" s="18" t="str">
        <x:v>Gimnasio</x:v>
      </x:c>
      <x:c r="M10" s="18" t="n">
        <x:f>IF(B10="","",MIN(100,MAX(0,50+((B10-Setup!$B$4)/MAX(Setup!$B$4,1))*200)))</x:f>
        <x:v>53.84615384615385</x:v>
      </x:c>
      <x:c r="N10" s="18" t="n">
        <x:f>IF(A10="","",(H10*Setup!$B$9)+(I10*Setup!$B$10)+(J10*Setup!$B$11)+(K10*Setup!$B$12))</x:f>
        <x:v>0</x:v>
      </x:c>
      <x:c r="O10" s="18" t="n">
        <x:f>IF(A10="","",ROUND((0.4*M10)+(0.3*C10)+(0.3*D10)-N10,0))</x:f>
        <x:v>63</x:v>
      </x:c>
      <x:c r="P10" s="18" t="n">
        <x:f>IF(A10="","",ROUND((F10*G10*Setup!$B$7)+(E10*Setup!$B$8),0))</x:f>
        <x:v>74</x:v>
      </x:c>
      <x:c r="Q10" s="18" t="n">
        <x:f>IF(A10="","",ROUND(O10-(P10/2),0))</x:f>
        <x:v>26</x:v>
      </x:c>
      <x:c r="R10" s="18" t="str">
        <x:f>IF(A10="","",IF(OR(O10&lt;Setup!$B$6,Q10&lt;0),"Recuperación activa / descanso",IF(O10&lt;Setup!$B$5,"Entrenamiento moderado","Entrena fuerte / alto rendimiento")))</x:f>
        <x:v>Entrenamiento moderado</x:v>
      </x:c>
      <x:c r="S10" s="18" t="str">
        <x:f>IF(A10="","",IF(OR(O10&lt;Setup!$B$6,Q10&lt;0),"Rojo",IF(O10&lt;Setup!$B$5,"Amarillo","Verde")))</x:f>
        <x:v>Amarillo</x:v>
      </x:c>
    </x:row>
    <x:row r="11">
      <x:c r="A11" s="17" t="str">
        <x:v>2026-04-10</x:v>
      </x:c>
      <x:c r="B11" s="18" t="n">
        <x:v>50</x:v>
      </x:c>
      <x:c r="C11" s="18" t="n">
        <x:v>58</x:v>
      </x:c>
      <x:c r="D11" s="18" t="n">
        <x:v>67</x:v>
      </x:c>
      <x:c r="E11" s="18" t="n">
        <x:v>39</x:v>
      </x:c>
      <x:c r="F11" s="18" t="n">
        <x:v>25</x:v>
      </x:c>
      <x:c r="G11" s="18" t="n">
        <x:v>1</x:v>
      </x:c>
      <x:c r="H11" s="18" t="n">
        <x:v>0</x:v>
      </x:c>
      <x:c r="I11" s="18" t="n">
        <x:v>1</x:v>
      </x:c>
      <x:c r="J11" s="18" t="n">
        <x:v>0</x:v>
      </x:c>
      <x:c r="K11" s="18" t="n">
        <x:v>0</x:v>
      </x:c>
      <x:c r="L11" s="18" t="str">
        <x:v>Sueño peor</x:v>
      </x:c>
      <x:c r="M11" s="18" t="n">
        <x:f>IF(B11="","",MIN(100,MAX(0,50+((B11-Setup!$B$4)/MAX(Setup!$B$4,1))*200)))</x:f>
        <x:v>42.30769230769231</x:v>
      </x:c>
      <x:c r="N11" s="18" t="n">
        <x:f>IF(A11="","",(H11*Setup!$B$9)+(I11*Setup!$B$10)+(J11*Setup!$B$11)+(K11*Setup!$B$12))</x:f>
        <x:v>5</x:v>
      </x:c>
      <x:c r="O11" s="18" t="n">
        <x:f>IF(A11="","",ROUND((0.4*M11)+(0.3*C11)+(0.3*D11)-N11,0))</x:f>
        <x:v>49</x:v>
      </x:c>
      <x:c r="P11" s="18" t="n">
        <x:f>IF(A11="","",ROUND((F11*G11*Setup!$B$7)+(E11*Setup!$B$8),0))</x:f>
        <x:v>49</x:v>
      </x:c>
      <x:c r="Q11" s="18" t="n">
        <x:f>IF(A11="","",ROUND(O11-(P11/2),0))</x:f>
        <x:v>25</x:v>
      </x:c>
      <x:c r="R11" s="18" t="str">
        <x:f>IF(A11="","",IF(OR(O11&lt;Setup!$B$6,Q11&lt;0),"Recuperación activa / descanso",IF(O11&lt;Setup!$B$5,"Entrenamiento moderado","Entrena fuerte / alto rendimiento")))</x:f>
        <x:v>Entrenamiento moderado</x:v>
      </x:c>
      <x:c r="S11" s="18" t="str">
        <x:f>IF(A11="","",IF(OR(O11&lt;Setup!$B$6,Q11&lt;0),"Rojo",IF(O11&lt;Setup!$B$5,"Amarillo","Verde")))</x:f>
        <x:v>Amarillo</x:v>
      </x:c>
    </x:row>
    <x:row r="12">
      <x:c r="A12" s="17" t="str">
        <x:v>2026-04-11</x:v>
      </x:c>
      <x:c r="B12" s="18" t="n">
        <x:v>46</x:v>
      </x:c>
      <x:c r="C12" s="18" t="n">
        <x:v>39</x:v>
      </x:c>
      <x:c r="D12" s="18" t="n">
        <x:v>54</x:v>
      </x:c>
      <x:c r="E12" s="18" t="n">
        <x:v>61</x:v>
      </x:c>
      <x:c r="F12" s="18" t="n">
        <x:v>0</x:v>
      </x:c>
      <x:c r="G12" s="18" t="n">
        <x:v>0</x:v>
      </x:c>
      <x:c r="H12" s="18" t="n">
        <x:v>0</x:v>
      </x:c>
      <x:c r="I12" s="18" t="n">
        <x:v>1</x:v>
      </x:c>
      <x:c r="J12" s="18" t="n">
        <x:v>1</x:v>
      </x:c>
      <x:c r="K12" s="18" t="n">
        <x:v>0</x:v>
      </x:c>
      <x:c r="L12" s="18" t="str">
        <x:v>Descanso</x:v>
      </x:c>
      <x:c r="M12" s="18" t="n">
        <x:f>IF(B12="","",MIN(100,MAX(0,50+((B12-Setup!$B$4)/MAX(Setup!$B$4,1))*200)))</x:f>
        <x:v>26.923076923076923</x:v>
      </x:c>
      <x:c r="N12" s="18" t="n">
        <x:f>IF(A12="","",(H12*Setup!$B$9)+(I12*Setup!$B$10)+(J12*Setup!$B$11)+(K12*Setup!$B$12))</x:f>
        <x:v>13</x:v>
      </x:c>
      <x:c r="O12" s="18" t="n">
        <x:f>IF(A12="","",ROUND((0.4*M12)+(0.3*C12)+(0.3*D12)-N12,0))</x:f>
        <x:v>26</x:v>
      </x:c>
      <x:c r="P12" s="18" t="n">
        <x:f>IF(A12="","",ROUND((F12*G12*Setup!$B$7)+(E12*Setup!$B$8),0))</x:f>
        <x:v>49</x:v>
      </x:c>
      <x:c r="Q12" s="18" t="n">
        <x:f>IF(A12="","",ROUND(O12-(P12/2),0))</x:f>
        <x:v>2</x:v>
      </x:c>
      <x:c r="R12" s="18" t="str">
        <x:f>IF(A12="","",IF(OR(O12&lt;Setup!$B$6,Q12&lt;0),"Recuperación activa / descanso",IF(O12&lt;Setup!$B$5,"Entrenamiento moderado","Entrena fuerte / alto rendimiento")))</x:f>
        <x:v>Recuperación activa / descanso</x:v>
      </x:c>
      <x:c r="S12" s="18" t="str">
        <x:f>IF(A12="","",IF(OR(O12&lt;Setup!$B$6,Q12&lt;0),"Rojo",IF(O12&lt;Setup!$B$5,"Amarillo","Verde")))</x:f>
        <x:v>Rojo</x:v>
      </x:c>
    </x:row>
    <x:row r="13">
      <x:c r="A13" s="17" t="str">
        <x:v>2026-04-12</x:v>
      </x:c>
      <x:c r="B13" s="18" t="n">
        <x:v>48</x:v>
      </x:c>
      <x:c r="C13" s="18" t="n">
        <x:v>52</x:v>
      </x:c>
      <x:c r="D13" s="18" t="n">
        <x:v>63</x:v>
      </x:c>
      <x:c r="E13" s="18" t="n">
        <x:v>46</x:v>
      </x:c>
      <x:c r="F13" s="18" t="n">
        <x:v>20</x:v>
      </x:c>
      <x:c r="G13" s="18" t="n">
        <x:v>1</x:v>
      </x:c>
      <x:c r="H13" s="18" t="n">
        <x:v>1</x:v>
      </x:c>
      <x:c r="I13" s="18" t="n">
        <x:v>0</x:v>
      </x:c>
      <x:c r="J13" s="18" t="n">
        <x:v>0</x:v>
      </x:c>
      <x:c r="K13" s="18" t="n">
        <x:v>1</x:v>
      </x:c>
      <x:c r="L13" s="18" t="str">
        <x:v>Viaje</x:v>
      </x:c>
      <x:c r="M13" s="18" t="n">
        <x:f>IF(B13="","",MIN(100,MAX(0,50+((B13-Setup!$B$4)/MAX(Setup!$B$4,1))*200)))</x:f>
        <x:v>34.61538461538461</x:v>
      </x:c>
      <x:c r="N13" s="18" t="n">
        <x:f>IF(A13="","",(H13*Setup!$B$9)+(I13*Setup!$B$10)+(J13*Setup!$B$11)+(K13*Setup!$B$12))</x:f>
        <x:v>15</x:v>
      </x:c>
      <x:c r="O13" s="18" t="n">
        <x:f>IF(A13="","",ROUND((0.4*M13)+(0.3*C13)+(0.3*D13)-N13,0))</x:f>
        <x:v>33</x:v>
      </x:c>
      <x:c r="P13" s="18" t="n">
        <x:f>IF(A13="","",ROUND((F13*G13*Setup!$B$7)+(E13*Setup!$B$8),0))</x:f>
        <x:v>51</x:v>
      </x:c>
      <x:c r="Q13" s="18" t="n">
        <x:f>IF(A13="","",ROUND(O13-(P13/2),0))</x:f>
        <x:v>8</x:v>
      </x:c>
      <x:c r="R13" s="18" t="str">
        <x:f>IF(A13="","",IF(OR(O13&lt;Setup!$B$6,Q13&lt;0),"Recuperación activa / descanso",IF(O13&lt;Setup!$B$5,"Entrenamiento moderado","Entrena fuerte / alto rendimiento")))</x:f>
        <x:v>Recuperación activa / descanso</x:v>
      </x:c>
      <x:c r="S13" s="18" t="str">
        <x:f>IF(A13="","",IF(OR(O13&lt;Setup!$B$6,Q13&lt;0),"Rojo",IF(O13&lt;Setup!$B$5,"Amarillo","Verde")))</x:f>
        <x:v>Rojo</x:v>
      </x:c>
    </x:row>
    <x:row r="14">
      <x:c r="A14" s="17" t="str">
        <x:v>2026-04-13</x:v>
      </x:c>
      <x:c r="B14" s="18" t="n">
        <x:v>55</x:v>
      </x:c>
      <x:c r="C14" s="18" t="n">
        <x:v>75</x:v>
      </x:c>
      <x:c r="D14" s="18" t="n">
        <x:v>81</x:v>
      </x:c>
      <x:c r="E14" s="18" t="n">
        <x:v>27</x:v>
      </x:c>
      <x:c r="F14" s="18" t="n">
        <x:v>40</x:v>
      </x:c>
      <x:c r="G14" s="18" t="n">
        <x:v>2</x:v>
      </x:c>
      <x:c r="H14" s="18" t="n">
        <x:v>0</x:v>
      </x:c>
      <x:c r="I14" s="18" t="n">
        <x:v>0</x:v>
      </x:c>
      <x:c r="J14" s="18" t="n">
        <x:v>0</x:v>
      </x:c>
      <x:c r="K14" s="18" t="n">
        <x:v>0</x:v>
      </x:c>
      <x:c r="L14" s="18" t="str">
        <x:v>Fuerza</x:v>
      </x:c>
      <x:c r="M14" s="18" t="n">
        <x:f>IF(B14="","",MIN(100,MAX(0,50+((B14-Setup!$B$4)/MAX(Setup!$B$4,1))*200)))</x:f>
        <x:v>61.53846153846154</x:v>
      </x:c>
      <x:c r="N14" s="18" t="n">
        <x:f>IF(A14="","",(H14*Setup!$B$9)+(I14*Setup!$B$10)+(J14*Setup!$B$11)+(K14*Setup!$B$12))</x:f>
        <x:v>0</x:v>
      </x:c>
      <x:c r="O14" s="18" t="n">
        <x:f>IF(A14="","",ROUND((0.4*M14)+(0.3*C14)+(0.3*D14)-N14,0))</x:f>
        <x:v>71</x:v>
      </x:c>
      <x:c r="P14" s="18" t="n">
        <x:f>IF(A14="","",ROUND((F14*G14*Setup!$B$7)+(E14*Setup!$B$8),0))</x:f>
        <x:v>78</x:v>
      </x:c>
      <x:c r="Q14" s="18" t="n">
        <x:f>IF(A14="","",ROUND(O14-(P14/2),0))</x:f>
        <x:v>32</x:v>
      </x:c>
      <x:c r="R14" s="18" t="str">
        <x:f>IF(A14="","",IF(OR(O14&lt;Setup!$B$6,Q14&lt;0),"Recuperación activa / descanso",IF(O14&lt;Setup!$B$5,"Entrenamiento moderado","Entrena fuerte / alto rendimiento")))</x:f>
        <x:v>Entrena fuerte / alto rendimiento</x:v>
      </x:c>
      <x:c r="S14" s="18" t="str">
        <x:f>IF(A14="","",IF(OR(O14&lt;Setup!$B$6,Q14&lt;0),"Rojo",IF(O14&lt;Setup!$B$5,"Amarillo","Verde")))</x:f>
        <x:v>Verde</x:v>
      </x:c>
    </x:row>
    <x:row r="15">
      <x:c r="A15" s="17" t="str">
        <x:v>2026-04-14</x:v>
      </x:c>
      <x:c r="B15" s="18" t="n">
        <x:v>59</x:v>
      </x:c>
      <x:c r="C15" s="18" t="n">
        <x:v>83</x:v>
      </x:c>
      <x:c r="D15" s="18" t="n">
        <x:v>87</x:v>
      </x:c>
      <x:c r="E15" s="18" t="n">
        <x:v>21</x:v>
      </x:c>
      <x:c r="F15" s="18" t="n">
        <x:v>60</x:v>
      </x:c>
      <x:c r="G15" s="18" t="n">
        <x:v>2</x:v>
      </x:c>
      <x:c r="H15" s="18" t="n">
        <x:v>0</x:v>
      </x:c>
      <x:c r="I15" s="18" t="n">
        <x:v>0</x:v>
      </x:c>
      <x:c r="J15" s="18" t="n">
        <x:v>0</x:v>
      </x:c>
      <x:c r="K15" s="18" t="n">
        <x:v>0</x:v>
      </x:c>
      <x:c r="L15" s="18" t="str">
        <x:v>Excelente</x:v>
      </x:c>
      <x:c r="M15" s="18" t="n">
        <x:f>IF(B15="","",MIN(100,MAX(0,50+((B15-Setup!$B$4)/MAX(Setup!$B$4,1))*200)))</x:f>
        <x:v>76.92307692307692</x:v>
      </x:c>
      <x:c r="N15" s="18" t="n">
        <x:f>IF(A15="","",(H15*Setup!$B$9)+(I15*Setup!$B$10)+(J15*Setup!$B$11)+(K15*Setup!$B$12))</x:f>
        <x:v>0</x:v>
      </x:c>
      <x:c r="O15" s="18" t="n">
        <x:f>IF(A15="","",ROUND((0.4*M15)+(0.3*C15)+(0.3*D15)-N15,0))</x:f>
        <x:v>82</x:v>
      </x:c>
      <x:c r="P15" s="18" t="n">
        <x:f>IF(A15="","",ROUND((F15*G15*Setup!$B$7)+(E15*Setup!$B$8),0))</x:f>
        <x:v>101</x:v>
      </x:c>
      <x:c r="Q15" s="18" t="n">
        <x:f>IF(A15="","",ROUND(O15-(P15/2),0))</x:f>
        <x:v>32</x:v>
      </x:c>
      <x:c r="R15" s="18" t="str">
        <x:f>IF(A15="","",IF(OR(O15&lt;Setup!$B$6,Q15&lt;0),"Recuperación activa / descanso",IF(O15&lt;Setup!$B$5,"Entrenamiento moderado","Entrena fuerte / alto rendimiento")))</x:f>
        <x:v>Entrena fuerte / alto rendimiento</x:v>
      </x:c>
      <x:c r="S15" s="18" t="str">
        <x:f>IF(A15="","",IF(OR(O15&lt;Setup!$B$6,Q15&lt;0),"Rojo",IF(O15&lt;Setup!$B$5,"Amarillo","Verde")))</x:f>
        <x:v>Verde</x:v>
      </x:c>
    </x:row>
    <x:row r="16">
      <x:c r="A16" s="17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 t="str">
        <x:f>IF(B16="","",MIN(100,MAX(0,50+((B16-Setup!$B$4)/MAX(Setup!$B$4,1))*200)))</x:f>
      </x:c>
      <x:c r="N16" s="18" t="str">
        <x:f>IF(A16="","",(H16*Setup!$B$9)+(I16*Setup!$B$10)+(J16*Setup!$B$11)+(K16*Setup!$B$12))</x:f>
      </x:c>
      <x:c r="O16" s="18" t="str">
        <x:f>IF(A16="","",ROUND((0.4*M16)+(0.3*C16)+(0.3*D16)-N16,0))</x:f>
      </x:c>
      <x:c r="P16" s="18" t="str">
        <x:f>IF(A16="","",ROUND((F16*G16*Setup!$B$7)+(E16*Setup!$B$8),0))</x:f>
      </x:c>
      <x:c r="Q16" s="18" t="str">
        <x:f>IF(A16="","",ROUND(O16-(P16/2),0))</x:f>
      </x:c>
      <x:c r="R16" s="18" t="str">
        <x:f>IF(A16="","",IF(OR(O16&lt;Setup!$B$6,Q16&lt;0),"Recuperación activa / descanso",IF(O16&lt;Setup!$B$5,"Entrenamiento moderado","Entrena fuerte / alto rendimiento")))</x:f>
      </x:c>
      <x:c r="S16" s="18" t="str">
        <x:f>IF(A16="","",IF(OR(O16&lt;Setup!$B$6,Q16&lt;0),"Rojo",IF(O16&lt;Setup!$B$5,"Amarillo","Verde")))</x:f>
      </x:c>
    </x:row>
    <x:row r="17">
      <x:c r="A17" s="17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 t="str">
        <x:f>IF(B17="","",MIN(100,MAX(0,50+((B17-Setup!$B$4)/MAX(Setup!$B$4,1))*200)))</x:f>
      </x:c>
      <x:c r="N17" s="18" t="str">
        <x:f>IF(A17="","",(H17*Setup!$B$9)+(I17*Setup!$B$10)+(J17*Setup!$B$11)+(K17*Setup!$B$12))</x:f>
      </x:c>
      <x:c r="O17" s="18" t="str">
        <x:f>IF(A17="","",ROUND((0.4*M17)+(0.3*C17)+(0.3*D17)-N17,0))</x:f>
      </x:c>
      <x:c r="P17" s="18" t="str">
        <x:f>IF(A17="","",ROUND((F17*G17*Setup!$B$7)+(E17*Setup!$B$8),0))</x:f>
      </x:c>
      <x:c r="Q17" s="18" t="str">
        <x:f>IF(A17="","",ROUND(O17-(P17/2),0))</x:f>
      </x:c>
      <x:c r="R17" s="18" t="str">
        <x:f>IF(A17="","",IF(OR(O17&lt;Setup!$B$6,Q17&lt;0),"Recuperación activa / descanso",IF(O17&lt;Setup!$B$5,"Entrenamiento moderado","Entrena fuerte / alto rendimiento")))</x:f>
      </x:c>
      <x:c r="S17" s="18" t="str">
        <x:f>IF(A17="","",IF(OR(O17&lt;Setup!$B$6,Q17&lt;0),"Rojo",IF(O17&lt;Setup!$B$5,"Amarillo","Verde")))</x:f>
      </x:c>
    </x:row>
    <x:row r="18">
      <x:c r="A18" s="17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 t="str">
        <x:f>IF(B18="","",MIN(100,MAX(0,50+((B18-Setup!$B$4)/MAX(Setup!$B$4,1))*200)))</x:f>
      </x:c>
      <x:c r="N18" s="18" t="str">
        <x:f>IF(A18="","",(H18*Setup!$B$9)+(I18*Setup!$B$10)+(J18*Setup!$B$11)+(K18*Setup!$B$12))</x:f>
      </x:c>
      <x:c r="O18" s="18" t="str">
        <x:f>IF(A18="","",ROUND((0.4*M18)+(0.3*C18)+(0.3*D18)-N18,0))</x:f>
      </x:c>
      <x:c r="P18" s="18" t="str">
        <x:f>IF(A18="","",ROUND((F18*G18*Setup!$B$7)+(E18*Setup!$B$8),0))</x:f>
      </x:c>
      <x:c r="Q18" s="18" t="str">
        <x:f>IF(A18="","",ROUND(O18-(P18/2),0))</x:f>
      </x:c>
      <x:c r="R18" s="18" t="str">
        <x:f>IF(A18="","",IF(OR(O18&lt;Setup!$B$6,Q18&lt;0),"Recuperación activa / descanso",IF(O18&lt;Setup!$B$5,"Entrenamiento moderado","Entrena fuerte / alto rendimiento")))</x:f>
      </x:c>
      <x:c r="S18" s="18" t="str">
        <x:f>IF(A18="","",IF(OR(O18&lt;Setup!$B$6,Q18&lt;0),"Rojo",IF(O18&lt;Setup!$B$5,"Amarillo","Verde")))</x:f>
      </x:c>
    </x:row>
    <x:row r="19">
      <x:c r="A19" s="17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 t="str">
        <x:f>IF(B19="","",MIN(100,MAX(0,50+((B19-Setup!$B$4)/MAX(Setup!$B$4,1))*200)))</x:f>
      </x:c>
      <x:c r="N19" s="18" t="str">
        <x:f>IF(A19="","",(H19*Setup!$B$9)+(I19*Setup!$B$10)+(J19*Setup!$B$11)+(K19*Setup!$B$12))</x:f>
      </x:c>
      <x:c r="O19" s="18" t="str">
        <x:f>IF(A19="","",ROUND((0.4*M19)+(0.3*C19)+(0.3*D19)-N19,0))</x:f>
      </x:c>
      <x:c r="P19" s="18" t="str">
        <x:f>IF(A19="","",ROUND((F19*G19*Setup!$B$7)+(E19*Setup!$B$8),0))</x:f>
      </x:c>
      <x:c r="Q19" s="18" t="str">
        <x:f>IF(A19="","",ROUND(O19-(P19/2),0))</x:f>
      </x:c>
      <x:c r="R19" s="18" t="str">
        <x:f>IF(A19="","",IF(OR(O19&lt;Setup!$B$6,Q19&lt;0),"Recuperación activa / descanso",IF(O19&lt;Setup!$B$5,"Entrenamiento moderado","Entrena fuerte / alto rendimiento")))</x:f>
      </x:c>
      <x:c r="S19" s="18" t="str">
        <x:f>IF(A19="","",IF(OR(O19&lt;Setup!$B$6,Q19&lt;0),"Rojo",IF(O19&lt;Setup!$B$5,"Amarillo","Verde")))</x:f>
      </x:c>
    </x:row>
    <x:row r="20">
      <x:c r="A20" s="17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 t="str">
        <x:f>IF(B20="","",MIN(100,MAX(0,50+((B20-Setup!$B$4)/MAX(Setup!$B$4,1))*200)))</x:f>
      </x:c>
      <x:c r="N20" s="18" t="str">
        <x:f>IF(A20="","",(H20*Setup!$B$9)+(I20*Setup!$B$10)+(J20*Setup!$B$11)+(K20*Setup!$B$12))</x:f>
      </x:c>
      <x:c r="O20" s="18" t="str">
        <x:f>IF(A20="","",ROUND((0.4*M20)+(0.3*C20)+(0.3*D20)-N20,0))</x:f>
      </x:c>
      <x:c r="P20" s="18" t="str">
        <x:f>IF(A20="","",ROUND((F20*G20*Setup!$B$7)+(E20*Setup!$B$8),0))</x:f>
      </x:c>
      <x:c r="Q20" s="18" t="str">
        <x:f>IF(A20="","",ROUND(O20-(P20/2),0))</x:f>
      </x:c>
      <x:c r="R20" s="18" t="str">
        <x:f>IF(A20="","",IF(OR(O20&lt;Setup!$B$6,Q20&lt;0),"Recuperación activa / descanso",IF(O20&lt;Setup!$B$5,"Entrenamiento moderado","Entrena fuerte / alto rendimiento")))</x:f>
      </x:c>
      <x:c r="S20" s="18" t="str">
        <x:f>IF(A20="","",IF(OR(O20&lt;Setup!$B$6,Q20&lt;0),"Rojo",IF(O20&lt;Setup!$B$5,"Amarillo","Verde")))</x:f>
      </x:c>
    </x:row>
    <x:row r="21">
      <x:c r="A21" s="17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 t="str">
        <x:f>IF(B21="","",MIN(100,MAX(0,50+((B21-Setup!$B$4)/MAX(Setup!$B$4,1))*200)))</x:f>
      </x:c>
      <x:c r="N21" s="18" t="str">
        <x:f>IF(A21="","",(H21*Setup!$B$9)+(I21*Setup!$B$10)+(J21*Setup!$B$11)+(K21*Setup!$B$12))</x:f>
      </x:c>
      <x:c r="O21" s="18" t="str">
        <x:f>IF(A21="","",ROUND((0.4*M21)+(0.3*C21)+(0.3*D21)-N21,0))</x:f>
      </x:c>
      <x:c r="P21" s="18" t="str">
        <x:f>IF(A21="","",ROUND((F21*G21*Setup!$B$7)+(E21*Setup!$B$8),0))</x:f>
      </x:c>
      <x:c r="Q21" s="18" t="str">
        <x:f>IF(A21="","",ROUND(O21-(P21/2),0))</x:f>
      </x:c>
      <x:c r="R21" s="18" t="str">
        <x:f>IF(A21="","",IF(OR(O21&lt;Setup!$B$6,Q21&lt;0),"Recuperación activa / descanso",IF(O21&lt;Setup!$B$5,"Entrenamiento moderado","Entrena fuerte / alto rendimiento")))</x:f>
      </x:c>
      <x:c r="S21" s="18" t="str">
        <x:f>IF(A21="","",IF(OR(O21&lt;Setup!$B$6,Q21&lt;0),"Rojo",IF(O21&lt;Setup!$B$5,"Amarillo","Verde")))</x:f>
      </x:c>
    </x:row>
    <x:row r="22">
      <x:c r="A22" s="17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 t="str">
        <x:f>IF(B22="","",MIN(100,MAX(0,50+((B22-Setup!$B$4)/MAX(Setup!$B$4,1))*200)))</x:f>
      </x:c>
      <x:c r="N22" s="18" t="str">
        <x:f>IF(A22="","",(H22*Setup!$B$9)+(I22*Setup!$B$10)+(J22*Setup!$B$11)+(K22*Setup!$B$12))</x:f>
      </x:c>
      <x:c r="O22" s="18" t="str">
        <x:f>IF(A22="","",ROUND((0.4*M22)+(0.3*C22)+(0.3*D22)-N22,0))</x:f>
      </x:c>
      <x:c r="P22" s="18" t="str">
        <x:f>IF(A22="","",ROUND((F22*G22*Setup!$B$7)+(E22*Setup!$B$8),0))</x:f>
      </x:c>
      <x:c r="Q22" s="18" t="str">
        <x:f>IF(A22="","",ROUND(O22-(P22/2),0))</x:f>
      </x:c>
      <x:c r="R22" s="18" t="str">
        <x:f>IF(A22="","",IF(OR(O22&lt;Setup!$B$6,Q22&lt;0),"Recuperación activa / descanso",IF(O22&lt;Setup!$B$5,"Entrenamiento moderado","Entrena fuerte / alto rendimiento")))</x:f>
      </x:c>
      <x:c r="S22" s="18" t="str">
        <x:f>IF(A22="","",IF(OR(O22&lt;Setup!$B$6,Q22&lt;0),"Rojo",IF(O22&lt;Setup!$B$5,"Amarillo","Verde")))</x:f>
      </x:c>
    </x:row>
    <x:row r="23">
      <x:c r="A23" s="17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 t="str">
        <x:f>IF(B23="","",MIN(100,MAX(0,50+((B23-Setup!$B$4)/MAX(Setup!$B$4,1))*200)))</x:f>
      </x:c>
      <x:c r="N23" s="18" t="str">
        <x:f>IF(A23="","",(H23*Setup!$B$9)+(I23*Setup!$B$10)+(J23*Setup!$B$11)+(K23*Setup!$B$12))</x:f>
      </x:c>
      <x:c r="O23" s="18" t="str">
        <x:f>IF(A23="","",ROUND((0.4*M23)+(0.3*C23)+(0.3*D23)-N23,0))</x:f>
      </x:c>
      <x:c r="P23" s="18" t="str">
        <x:f>IF(A23="","",ROUND((F23*G23*Setup!$B$7)+(E23*Setup!$B$8),0))</x:f>
      </x:c>
      <x:c r="Q23" s="18" t="str">
        <x:f>IF(A23="","",ROUND(O23-(P23/2),0))</x:f>
      </x:c>
      <x:c r="R23" s="18" t="str">
        <x:f>IF(A23="","",IF(OR(O23&lt;Setup!$B$6,Q23&lt;0),"Recuperación activa / descanso",IF(O23&lt;Setup!$B$5,"Entrenamiento moderado","Entrena fuerte / alto rendimiento")))</x:f>
      </x:c>
      <x:c r="S23" s="18" t="str">
        <x:f>IF(A23="","",IF(OR(O23&lt;Setup!$B$6,Q23&lt;0),"Rojo",IF(O23&lt;Setup!$B$5,"Amarillo","Verde")))</x:f>
      </x:c>
    </x:row>
    <x:row r="24">
      <x:c r="A24" s="17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 t="str">
        <x:f>IF(B24="","",MIN(100,MAX(0,50+((B24-Setup!$B$4)/MAX(Setup!$B$4,1))*200)))</x:f>
      </x:c>
      <x:c r="N24" s="18" t="str">
        <x:f>IF(A24="","",(H24*Setup!$B$9)+(I24*Setup!$B$10)+(J24*Setup!$B$11)+(K24*Setup!$B$12))</x:f>
      </x:c>
      <x:c r="O24" s="18" t="str">
        <x:f>IF(A24="","",ROUND((0.4*M24)+(0.3*C24)+(0.3*D24)-N24,0))</x:f>
      </x:c>
      <x:c r="P24" s="18" t="str">
        <x:f>IF(A24="","",ROUND((F24*G24*Setup!$B$7)+(E24*Setup!$B$8),0))</x:f>
      </x:c>
      <x:c r="Q24" s="18" t="str">
        <x:f>IF(A24="","",ROUND(O24-(P24/2),0))</x:f>
      </x:c>
      <x:c r="R24" s="18" t="str">
        <x:f>IF(A24="","",IF(OR(O24&lt;Setup!$B$6,Q24&lt;0),"Recuperación activa / descanso",IF(O24&lt;Setup!$B$5,"Entrenamiento moderado","Entrena fuerte / alto rendimiento")))</x:f>
      </x:c>
      <x:c r="S24" s="18" t="str">
        <x:f>IF(A24="","",IF(OR(O24&lt;Setup!$B$6,Q24&lt;0),"Rojo",IF(O24&lt;Setup!$B$5,"Amarillo","Verde")))</x:f>
      </x:c>
    </x:row>
    <x:row r="25">
      <x:c r="A25" s="17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 t="str">
        <x:f>IF(B25="","",MIN(100,MAX(0,50+((B25-Setup!$B$4)/MAX(Setup!$B$4,1))*200)))</x:f>
      </x:c>
      <x:c r="N25" s="18" t="str">
        <x:f>IF(A25="","",(H25*Setup!$B$9)+(I25*Setup!$B$10)+(J25*Setup!$B$11)+(K25*Setup!$B$12))</x:f>
      </x:c>
      <x:c r="O25" s="18" t="str">
        <x:f>IF(A25="","",ROUND((0.4*M25)+(0.3*C25)+(0.3*D25)-N25,0))</x:f>
      </x:c>
      <x:c r="P25" s="18" t="str">
        <x:f>IF(A25="","",ROUND((F25*G25*Setup!$B$7)+(E25*Setup!$B$8),0))</x:f>
      </x:c>
      <x:c r="Q25" s="18" t="str">
        <x:f>IF(A25="","",ROUND(O25-(P25/2),0))</x:f>
      </x:c>
      <x:c r="R25" s="18" t="str">
        <x:f>IF(A25="","",IF(OR(O25&lt;Setup!$B$6,Q25&lt;0),"Recuperación activa / descanso",IF(O25&lt;Setup!$B$5,"Entrenamiento moderado","Entrena fuerte / alto rendimiento")))</x:f>
      </x:c>
      <x:c r="S25" s="18" t="str">
        <x:f>IF(A25="","",IF(OR(O25&lt;Setup!$B$6,Q25&lt;0),"Rojo",IF(O25&lt;Setup!$B$5,"Amarillo","Verde")))</x:f>
      </x:c>
    </x:row>
    <x:row r="26">
      <x:c r="A26" s="17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 t="str">
        <x:f>IF(B26="","",MIN(100,MAX(0,50+((B26-Setup!$B$4)/MAX(Setup!$B$4,1))*200)))</x:f>
      </x:c>
      <x:c r="N26" s="18" t="str">
        <x:f>IF(A26="","",(H26*Setup!$B$9)+(I26*Setup!$B$10)+(J26*Setup!$B$11)+(K26*Setup!$B$12))</x:f>
      </x:c>
      <x:c r="O26" s="18" t="str">
        <x:f>IF(A26="","",ROUND((0.4*M26)+(0.3*C26)+(0.3*D26)-N26,0))</x:f>
      </x:c>
      <x:c r="P26" s="18" t="str">
        <x:f>IF(A26="","",ROUND((F26*G26*Setup!$B$7)+(E26*Setup!$B$8),0))</x:f>
      </x:c>
      <x:c r="Q26" s="18" t="str">
        <x:f>IF(A26="","",ROUND(O26-(P26/2),0))</x:f>
      </x:c>
      <x:c r="R26" s="18" t="str">
        <x:f>IF(A26="","",IF(OR(O26&lt;Setup!$B$6,Q26&lt;0),"Recuperación activa / descanso",IF(O26&lt;Setup!$B$5,"Entrenamiento moderado","Entrena fuerte / alto rendimiento")))</x:f>
      </x:c>
      <x:c r="S26" s="18" t="str">
        <x:f>IF(A26="","",IF(OR(O26&lt;Setup!$B$6,Q26&lt;0),"Rojo",IF(O26&lt;Setup!$B$5,"Amarillo","Verde")))</x:f>
      </x:c>
    </x:row>
    <x:row r="27">
      <x:c r="A27" s="17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 t="str">
        <x:f>IF(B27="","",MIN(100,MAX(0,50+((B27-Setup!$B$4)/MAX(Setup!$B$4,1))*200)))</x:f>
      </x:c>
      <x:c r="N27" s="18" t="str">
        <x:f>IF(A27="","",(H27*Setup!$B$9)+(I27*Setup!$B$10)+(J27*Setup!$B$11)+(K27*Setup!$B$12))</x:f>
      </x:c>
      <x:c r="O27" s="18" t="str">
        <x:f>IF(A27="","",ROUND((0.4*M27)+(0.3*C27)+(0.3*D27)-N27,0))</x:f>
      </x:c>
      <x:c r="P27" s="18" t="str">
        <x:f>IF(A27="","",ROUND((F27*G27*Setup!$B$7)+(E27*Setup!$B$8),0))</x:f>
      </x:c>
      <x:c r="Q27" s="18" t="str">
        <x:f>IF(A27="","",ROUND(O27-(P27/2),0))</x:f>
      </x:c>
      <x:c r="R27" s="18" t="str">
        <x:f>IF(A27="","",IF(OR(O27&lt;Setup!$B$6,Q27&lt;0),"Recuperación activa / descanso",IF(O27&lt;Setup!$B$5,"Entrenamiento moderado","Entrena fuerte / alto rendimiento")))</x:f>
      </x:c>
      <x:c r="S27" s="18" t="str">
        <x:f>IF(A27="","",IF(OR(O27&lt;Setup!$B$6,Q27&lt;0),"Rojo",IF(O27&lt;Setup!$B$5,"Amarillo","Verde")))</x:f>
      </x:c>
    </x:row>
    <x:row r="28">
      <x:c r="A28" s="17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 t="str">
        <x:f>IF(B28="","",MIN(100,MAX(0,50+((B28-Setup!$B$4)/MAX(Setup!$B$4,1))*200)))</x:f>
      </x:c>
      <x:c r="N28" s="18" t="str">
        <x:f>IF(A28="","",(H28*Setup!$B$9)+(I28*Setup!$B$10)+(J28*Setup!$B$11)+(K28*Setup!$B$12))</x:f>
      </x:c>
      <x:c r="O28" s="18" t="str">
        <x:f>IF(A28="","",ROUND((0.4*M28)+(0.3*C28)+(0.3*D28)-N28,0))</x:f>
      </x:c>
      <x:c r="P28" s="18" t="str">
        <x:f>IF(A28="","",ROUND((F28*G28*Setup!$B$7)+(E28*Setup!$B$8),0))</x:f>
      </x:c>
      <x:c r="Q28" s="18" t="str">
        <x:f>IF(A28="","",ROUND(O28-(P28/2),0))</x:f>
      </x:c>
      <x:c r="R28" s="18" t="str">
        <x:f>IF(A28="","",IF(OR(O28&lt;Setup!$B$6,Q28&lt;0),"Recuperación activa / descanso",IF(O28&lt;Setup!$B$5,"Entrenamiento moderado","Entrena fuerte / alto rendimiento")))</x:f>
      </x:c>
      <x:c r="S28" s="18" t="str">
        <x:f>IF(A28="","",IF(OR(O28&lt;Setup!$B$6,Q28&lt;0),"Rojo",IF(O28&lt;Setup!$B$5,"Amarillo","Verde")))</x:f>
      </x:c>
    </x:row>
    <x:row r="29">
      <x:c r="A29" s="17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 t="str">
        <x:f>IF(B29="","",MIN(100,MAX(0,50+((B29-Setup!$B$4)/MAX(Setup!$B$4,1))*200)))</x:f>
      </x:c>
      <x:c r="N29" s="18" t="str">
        <x:f>IF(A29="","",(H29*Setup!$B$9)+(I29*Setup!$B$10)+(J29*Setup!$B$11)+(K29*Setup!$B$12))</x:f>
      </x:c>
      <x:c r="O29" s="18" t="str">
        <x:f>IF(A29="","",ROUND((0.4*M29)+(0.3*C29)+(0.3*D29)-N29,0))</x:f>
      </x:c>
      <x:c r="P29" s="18" t="str">
        <x:f>IF(A29="","",ROUND((F29*G29*Setup!$B$7)+(E29*Setup!$B$8),0))</x:f>
      </x:c>
      <x:c r="Q29" s="18" t="str">
        <x:f>IF(A29="","",ROUND(O29-(P29/2),0))</x:f>
      </x:c>
      <x:c r="R29" s="18" t="str">
        <x:f>IF(A29="","",IF(OR(O29&lt;Setup!$B$6,Q29&lt;0),"Recuperación activa / descanso",IF(O29&lt;Setup!$B$5,"Entrenamiento moderado","Entrena fuerte / alto rendimiento")))</x:f>
      </x:c>
      <x:c r="S29" s="18" t="str">
        <x:f>IF(A29="","",IF(OR(O29&lt;Setup!$B$6,Q29&lt;0),"Rojo",IF(O29&lt;Setup!$B$5,"Amarillo","Verde")))</x:f>
      </x:c>
    </x:row>
    <x:row r="30">
      <x:c r="A30" s="17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 t="str">
        <x:f>IF(B30="","",MIN(100,MAX(0,50+((B30-Setup!$B$4)/MAX(Setup!$B$4,1))*200)))</x:f>
      </x:c>
      <x:c r="N30" s="18" t="str">
        <x:f>IF(A30="","",(H30*Setup!$B$9)+(I30*Setup!$B$10)+(J30*Setup!$B$11)+(K30*Setup!$B$12))</x:f>
      </x:c>
      <x:c r="O30" s="18" t="str">
        <x:f>IF(A30="","",ROUND((0.4*M30)+(0.3*C30)+(0.3*D30)-N30,0))</x:f>
      </x:c>
      <x:c r="P30" s="18" t="str">
        <x:f>IF(A30="","",ROUND((F30*G30*Setup!$B$7)+(E30*Setup!$B$8),0))</x:f>
      </x:c>
      <x:c r="Q30" s="18" t="str">
        <x:f>IF(A30="","",ROUND(O30-(P30/2),0))</x:f>
      </x:c>
      <x:c r="R30" s="18" t="str">
        <x:f>IF(A30="","",IF(OR(O30&lt;Setup!$B$6,Q30&lt;0),"Recuperación activa / descanso",IF(O30&lt;Setup!$B$5,"Entrenamiento moderado","Entrena fuerte / alto rendimiento")))</x:f>
      </x:c>
      <x:c r="S30" s="18" t="str">
        <x:f>IF(A30="","",IF(OR(O30&lt;Setup!$B$6,Q30&lt;0),"Rojo",IF(O30&lt;Setup!$B$5,"Amarillo","Verde")))</x:f>
      </x:c>
    </x:row>
    <x:row r="31">
      <x:c r="A31" s="17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 t="str">
        <x:f>IF(B31="","",MIN(100,MAX(0,50+((B31-Setup!$B$4)/MAX(Setup!$B$4,1))*200)))</x:f>
      </x:c>
      <x:c r="N31" s="18" t="str">
        <x:f>IF(A31="","",(H31*Setup!$B$9)+(I31*Setup!$B$10)+(J31*Setup!$B$11)+(K31*Setup!$B$12))</x:f>
      </x:c>
      <x:c r="O31" s="18" t="str">
        <x:f>IF(A31="","",ROUND((0.4*M31)+(0.3*C31)+(0.3*D31)-N31,0))</x:f>
      </x:c>
      <x:c r="P31" s="18" t="str">
        <x:f>IF(A31="","",ROUND((F31*G31*Setup!$B$7)+(E31*Setup!$B$8),0))</x:f>
      </x:c>
      <x:c r="Q31" s="18" t="str">
        <x:f>IF(A31="","",ROUND(O31-(P31/2),0))</x:f>
      </x:c>
      <x:c r="R31" s="18" t="str">
        <x:f>IF(A31="","",IF(OR(O31&lt;Setup!$B$6,Q31&lt;0),"Recuperación activa / descanso",IF(O31&lt;Setup!$B$5,"Entrenamiento moderado","Entrena fuerte / alto rendimiento")))</x:f>
      </x:c>
      <x:c r="S31" s="18" t="str">
        <x:f>IF(A31="","",IF(OR(O31&lt;Setup!$B$6,Q31&lt;0),"Rojo",IF(O31&lt;Setup!$B$5,"Amarillo","Verde")))</x:f>
      </x:c>
    </x:row>
    <x:row r="32">
      <x:c r="A32" s="17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 t="str">
        <x:f>IF(B32="","",MIN(100,MAX(0,50+((B32-Setup!$B$4)/MAX(Setup!$B$4,1))*200)))</x:f>
      </x:c>
      <x:c r="N32" s="18" t="str">
        <x:f>IF(A32="","",(H32*Setup!$B$9)+(I32*Setup!$B$10)+(J32*Setup!$B$11)+(K32*Setup!$B$12))</x:f>
      </x:c>
      <x:c r="O32" s="18" t="str">
        <x:f>IF(A32="","",ROUND((0.4*M32)+(0.3*C32)+(0.3*D32)-N32,0))</x:f>
      </x:c>
      <x:c r="P32" s="18" t="str">
        <x:f>IF(A32="","",ROUND((F32*G32*Setup!$B$7)+(E32*Setup!$B$8),0))</x:f>
      </x:c>
      <x:c r="Q32" s="18" t="str">
        <x:f>IF(A32="","",ROUND(O32-(P32/2),0))</x:f>
      </x:c>
      <x:c r="R32" s="18" t="str">
        <x:f>IF(A32="","",IF(OR(O32&lt;Setup!$B$6,Q32&lt;0),"Recuperación activa / descanso",IF(O32&lt;Setup!$B$5,"Entrenamiento moderado","Entrena fuerte / alto rendimiento")))</x:f>
      </x:c>
      <x:c r="S32" s="18" t="str">
        <x:f>IF(A32="","",IF(OR(O32&lt;Setup!$B$6,Q32&lt;0),"Rojo",IF(O32&lt;Setup!$B$5,"Amarillo","Verde")))</x:f>
      </x:c>
    </x:row>
    <x:row r="33">
      <x:c r="A33" s="17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 t="str">
        <x:f>IF(B33="","",MIN(100,MAX(0,50+((B33-Setup!$B$4)/MAX(Setup!$B$4,1))*200)))</x:f>
      </x:c>
      <x:c r="N33" s="18" t="str">
        <x:f>IF(A33="","",(H33*Setup!$B$9)+(I33*Setup!$B$10)+(J33*Setup!$B$11)+(K33*Setup!$B$12))</x:f>
      </x:c>
      <x:c r="O33" s="18" t="str">
        <x:f>IF(A33="","",ROUND((0.4*M33)+(0.3*C33)+(0.3*D33)-N33,0))</x:f>
      </x:c>
      <x:c r="P33" s="18" t="str">
        <x:f>IF(A33="","",ROUND((F33*G33*Setup!$B$7)+(E33*Setup!$B$8),0))</x:f>
      </x:c>
      <x:c r="Q33" s="18" t="str">
        <x:f>IF(A33="","",ROUND(O33-(P33/2),0))</x:f>
      </x:c>
      <x:c r="R33" s="18" t="str">
        <x:f>IF(A33="","",IF(OR(O33&lt;Setup!$B$6,Q33&lt;0),"Recuperación activa / descanso",IF(O33&lt;Setup!$B$5,"Entrenamiento moderado","Entrena fuerte / alto rendimiento")))</x:f>
      </x:c>
      <x:c r="S33" s="18" t="str">
        <x:f>IF(A33="","",IF(OR(O33&lt;Setup!$B$6,Q33&lt;0),"Rojo",IF(O33&lt;Setup!$B$5,"Amarillo","Verde")))</x:f>
      </x:c>
    </x:row>
    <x:row r="34">
      <x:c r="A34" s="17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 t="str">
        <x:f>IF(B34="","",MIN(100,MAX(0,50+((B34-Setup!$B$4)/MAX(Setup!$B$4,1))*200)))</x:f>
      </x:c>
      <x:c r="N34" s="18" t="str">
        <x:f>IF(A34="","",(H34*Setup!$B$9)+(I34*Setup!$B$10)+(J34*Setup!$B$11)+(K34*Setup!$B$12))</x:f>
      </x:c>
      <x:c r="O34" s="18" t="str">
        <x:f>IF(A34="","",ROUND((0.4*M34)+(0.3*C34)+(0.3*D34)-N34,0))</x:f>
      </x:c>
      <x:c r="P34" s="18" t="str">
        <x:f>IF(A34="","",ROUND((F34*G34*Setup!$B$7)+(E34*Setup!$B$8),0))</x:f>
      </x:c>
      <x:c r="Q34" s="18" t="str">
        <x:f>IF(A34="","",ROUND(O34-(P34/2),0))</x:f>
      </x:c>
      <x:c r="R34" s="18" t="str">
        <x:f>IF(A34="","",IF(OR(O34&lt;Setup!$B$6,Q34&lt;0),"Recuperación activa / descanso",IF(O34&lt;Setup!$B$5,"Entrenamiento moderado","Entrena fuerte / alto rendimiento")))</x:f>
      </x:c>
      <x:c r="S34" s="18" t="str">
        <x:f>IF(A34="","",IF(OR(O34&lt;Setup!$B$6,Q34&lt;0),"Rojo",IF(O34&lt;Setup!$B$5,"Amarillo","Verde")))</x:f>
      </x:c>
    </x:row>
    <x:row r="35">
      <x:c r="A35" s="17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 t="str">
        <x:f>IF(B35="","",MIN(100,MAX(0,50+((B35-Setup!$B$4)/MAX(Setup!$B$4,1))*200)))</x:f>
      </x:c>
      <x:c r="N35" s="18" t="str">
        <x:f>IF(A35="","",(H35*Setup!$B$9)+(I35*Setup!$B$10)+(J35*Setup!$B$11)+(K35*Setup!$B$12))</x:f>
      </x:c>
      <x:c r="O35" s="18" t="str">
        <x:f>IF(A35="","",ROUND((0.4*M35)+(0.3*C35)+(0.3*D35)-N35,0))</x:f>
      </x:c>
      <x:c r="P35" s="18" t="str">
        <x:f>IF(A35="","",ROUND((F35*G35*Setup!$B$7)+(E35*Setup!$B$8),0))</x:f>
      </x:c>
      <x:c r="Q35" s="18" t="str">
        <x:f>IF(A35="","",ROUND(O35-(P35/2),0))</x:f>
      </x:c>
      <x:c r="R35" s="18" t="str">
        <x:f>IF(A35="","",IF(OR(O35&lt;Setup!$B$6,Q35&lt;0),"Recuperación activa / descanso",IF(O35&lt;Setup!$B$5,"Entrenamiento moderado","Entrena fuerte / alto rendimiento")))</x:f>
      </x:c>
      <x:c r="S35" s="18" t="str">
        <x:f>IF(A35="","",IF(OR(O35&lt;Setup!$B$6,Q35&lt;0),"Rojo",IF(O35&lt;Setup!$B$5,"Amarillo","Verde")))</x:f>
      </x:c>
    </x:row>
    <x:row r="36">
      <x:c r="A36" s="17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 t="str">
        <x:f>IF(B36="","",MIN(100,MAX(0,50+((B36-Setup!$B$4)/MAX(Setup!$B$4,1))*200)))</x:f>
      </x:c>
      <x:c r="N36" s="18" t="str">
        <x:f>IF(A36="","",(H36*Setup!$B$9)+(I36*Setup!$B$10)+(J36*Setup!$B$11)+(K36*Setup!$B$12))</x:f>
      </x:c>
      <x:c r="O36" s="18" t="str">
        <x:f>IF(A36="","",ROUND((0.4*M36)+(0.3*C36)+(0.3*D36)-N36,0))</x:f>
      </x:c>
      <x:c r="P36" s="18" t="str">
        <x:f>IF(A36="","",ROUND((F36*G36*Setup!$B$7)+(E36*Setup!$B$8),0))</x:f>
      </x:c>
      <x:c r="Q36" s="18" t="str">
        <x:f>IF(A36="","",ROUND(O36-(P36/2),0))</x:f>
      </x:c>
      <x:c r="R36" s="18" t="str">
        <x:f>IF(A36="","",IF(OR(O36&lt;Setup!$B$6,Q36&lt;0),"Recuperación activa / descanso",IF(O36&lt;Setup!$B$5,"Entrenamiento moderado","Entrena fuerte / alto rendimiento")))</x:f>
      </x:c>
      <x:c r="S36" s="18" t="str">
        <x:f>IF(A36="","",IF(OR(O36&lt;Setup!$B$6,Q36&lt;0),"Rojo",IF(O36&lt;Setup!$B$5,"Amarillo","Verde")))</x:f>
      </x:c>
    </x:row>
    <x:row r="37">
      <x:c r="A37" s="17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 t="str">
        <x:f>IF(B37="","",MIN(100,MAX(0,50+((B37-Setup!$B$4)/MAX(Setup!$B$4,1))*200)))</x:f>
      </x:c>
      <x:c r="N37" s="18" t="str">
        <x:f>IF(A37="","",(H37*Setup!$B$9)+(I37*Setup!$B$10)+(J37*Setup!$B$11)+(K37*Setup!$B$12))</x:f>
      </x:c>
      <x:c r="O37" s="18" t="str">
        <x:f>IF(A37="","",ROUND((0.4*M37)+(0.3*C37)+(0.3*D37)-N37,0))</x:f>
      </x:c>
      <x:c r="P37" s="18" t="str">
        <x:f>IF(A37="","",ROUND((F37*G37*Setup!$B$7)+(E37*Setup!$B$8),0))</x:f>
      </x:c>
      <x:c r="Q37" s="18" t="str">
        <x:f>IF(A37="","",ROUND(O37-(P37/2),0))</x:f>
      </x:c>
      <x:c r="R37" s="18" t="str">
        <x:f>IF(A37="","",IF(OR(O37&lt;Setup!$B$6,Q37&lt;0),"Recuperación activa / descanso",IF(O37&lt;Setup!$B$5,"Entrenamiento moderado","Entrena fuerte / alto rendimiento")))</x:f>
      </x:c>
      <x:c r="S37" s="18" t="str">
        <x:f>IF(A37="","",IF(OR(O37&lt;Setup!$B$6,Q37&lt;0),"Rojo",IF(O37&lt;Setup!$B$5,"Amarillo","Verde")))</x:f>
      </x:c>
    </x:row>
    <x:row r="38">
      <x:c r="A38" s="17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 t="str">
        <x:f>IF(B38="","",MIN(100,MAX(0,50+((B38-Setup!$B$4)/MAX(Setup!$B$4,1))*200)))</x:f>
      </x:c>
      <x:c r="N38" s="18" t="str">
        <x:f>IF(A38="","",(H38*Setup!$B$9)+(I38*Setup!$B$10)+(J38*Setup!$B$11)+(K38*Setup!$B$12))</x:f>
      </x:c>
      <x:c r="O38" s="18" t="str">
        <x:f>IF(A38="","",ROUND((0.4*M38)+(0.3*C38)+(0.3*D38)-N38,0))</x:f>
      </x:c>
      <x:c r="P38" s="18" t="str">
        <x:f>IF(A38="","",ROUND((F38*G38*Setup!$B$7)+(E38*Setup!$B$8),0))</x:f>
      </x:c>
      <x:c r="Q38" s="18" t="str">
        <x:f>IF(A38="","",ROUND(O38-(P38/2),0))</x:f>
      </x:c>
      <x:c r="R38" s="18" t="str">
        <x:f>IF(A38="","",IF(OR(O38&lt;Setup!$B$6,Q38&lt;0),"Recuperación activa / descanso",IF(O38&lt;Setup!$B$5,"Entrenamiento moderado","Entrena fuerte / alto rendimiento")))</x:f>
      </x:c>
      <x:c r="S38" s="18" t="str">
        <x:f>IF(A38="","",IF(OR(O38&lt;Setup!$B$6,Q38&lt;0),"Rojo",IF(O38&lt;Setup!$B$5,"Amarillo","Verde")))</x:f>
      </x:c>
    </x:row>
    <x:row r="39">
      <x:c r="A39" s="17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 t="str">
        <x:f>IF(B39="","",MIN(100,MAX(0,50+((B39-Setup!$B$4)/MAX(Setup!$B$4,1))*200)))</x:f>
      </x:c>
      <x:c r="N39" s="18" t="str">
        <x:f>IF(A39="","",(H39*Setup!$B$9)+(I39*Setup!$B$10)+(J39*Setup!$B$11)+(K39*Setup!$B$12))</x:f>
      </x:c>
      <x:c r="O39" s="18" t="str">
        <x:f>IF(A39="","",ROUND((0.4*M39)+(0.3*C39)+(0.3*D39)-N39,0))</x:f>
      </x:c>
      <x:c r="P39" s="18" t="str">
        <x:f>IF(A39="","",ROUND((F39*G39*Setup!$B$7)+(E39*Setup!$B$8),0))</x:f>
      </x:c>
      <x:c r="Q39" s="18" t="str">
        <x:f>IF(A39="","",ROUND(O39-(P39/2),0))</x:f>
      </x:c>
      <x:c r="R39" s="18" t="str">
        <x:f>IF(A39="","",IF(OR(O39&lt;Setup!$B$6,Q39&lt;0),"Recuperación activa / descanso",IF(O39&lt;Setup!$B$5,"Entrenamiento moderado","Entrena fuerte / alto rendimiento")))</x:f>
      </x:c>
      <x:c r="S39" s="18" t="str">
        <x:f>IF(A39="","",IF(OR(O39&lt;Setup!$B$6,Q39&lt;0),"Rojo",IF(O39&lt;Setup!$B$5,"Amarillo","Verde")))</x:f>
      </x:c>
    </x:row>
    <x:row r="40">
      <x:c r="A40" s="17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 t="str">
        <x:f>IF(B40="","",MIN(100,MAX(0,50+((B40-Setup!$B$4)/MAX(Setup!$B$4,1))*200)))</x:f>
      </x:c>
      <x:c r="N40" s="18" t="str">
        <x:f>IF(A40="","",(H40*Setup!$B$9)+(I40*Setup!$B$10)+(J40*Setup!$B$11)+(K40*Setup!$B$12))</x:f>
      </x:c>
      <x:c r="O40" s="18" t="str">
        <x:f>IF(A40="","",ROUND((0.4*M40)+(0.3*C40)+(0.3*D40)-N40,0))</x:f>
      </x:c>
      <x:c r="P40" s="18" t="str">
        <x:f>IF(A40="","",ROUND((F40*G40*Setup!$B$7)+(E40*Setup!$B$8),0))</x:f>
      </x:c>
      <x:c r="Q40" s="18" t="str">
        <x:f>IF(A40="","",ROUND(O40-(P40/2),0))</x:f>
      </x:c>
      <x:c r="R40" s="18" t="str">
        <x:f>IF(A40="","",IF(OR(O40&lt;Setup!$B$6,Q40&lt;0),"Recuperación activa / descanso",IF(O40&lt;Setup!$B$5,"Entrenamiento moderado","Entrena fuerte / alto rendimiento")))</x:f>
      </x:c>
      <x:c r="S40" s="18" t="str">
        <x:f>IF(A40="","",IF(OR(O40&lt;Setup!$B$6,Q40&lt;0),"Rojo",IF(O40&lt;Setup!$B$5,"Amarillo","Verde")))</x:f>
      </x:c>
    </x:row>
    <x:row r="41">
      <x:c r="A41" s="17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 t="str">
        <x:f>IF(B41="","",MIN(100,MAX(0,50+((B41-Setup!$B$4)/MAX(Setup!$B$4,1))*200)))</x:f>
      </x:c>
      <x:c r="N41" s="18" t="str">
        <x:f>IF(A41="","",(H41*Setup!$B$9)+(I41*Setup!$B$10)+(J41*Setup!$B$11)+(K41*Setup!$B$12))</x:f>
      </x:c>
      <x:c r="O41" s="18" t="str">
        <x:f>IF(A41="","",ROUND((0.4*M41)+(0.3*C41)+(0.3*D41)-N41,0))</x:f>
      </x:c>
      <x:c r="P41" s="18" t="str">
        <x:f>IF(A41="","",ROUND((F41*G41*Setup!$B$7)+(E41*Setup!$B$8),0))</x:f>
      </x:c>
      <x:c r="Q41" s="18" t="str">
        <x:f>IF(A41="","",ROUND(O41-(P41/2),0))</x:f>
      </x:c>
      <x:c r="R41" s="18" t="str">
        <x:f>IF(A41="","",IF(OR(O41&lt;Setup!$B$6,Q41&lt;0),"Recuperación activa / descanso",IF(O41&lt;Setup!$B$5,"Entrenamiento moderado","Entrena fuerte / alto rendimiento")))</x:f>
      </x:c>
      <x:c r="S41" s="18" t="str">
        <x:f>IF(A41="","",IF(OR(O41&lt;Setup!$B$6,Q41&lt;0),"Rojo",IF(O41&lt;Setup!$B$5,"Amarillo","Verde")))</x:f>
      </x:c>
    </x:row>
    <x:row r="42">
      <x:c r="A42" s="17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 t="str">
        <x:f>IF(B42="","",MIN(100,MAX(0,50+((B42-Setup!$B$4)/MAX(Setup!$B$4,1))*200)))</x:f>
      </x:c>
      <x:c r="N42" s="18" t="str">
        <x:f>IF(A42="","",(H42*Setup!$B$9)+(I42*Setup!$B$10)+(J42*Setup!$B$11)+(K42*Setup!$B$12))</x:f>
      </x:c>
      <x:c r="O42" s="18" t="str">
        <x:f>IF(A42="","",ROUND((0.4*M42)+(0.3*C42)+(0.3*D42)-N42,0))</x:f>
      </x:c>
      <x:c r="P42" s="18" t="str">
        <x:f>IF(A42="","",ROUND((F42*G42*Setup!$B$7)+(E42*Setup!$B$8),0))</x:f>
      </x:c>
      <x:c r="Q42" s="18" t="str">
        <x:f>IF(A42="","",ROUND(O42-(P42/2),0))</x:f>
      </x:c>
      <x:c r="R42" s="18" t="str">
        <x:f>IF(A42="","",IF(OR(O42&lt;Setup!$B$6,Q42&lt;0),"Recuperación activa / descanso",IF(O42&lt;Setup!$B$5,"Entrenamiento moderado","Entrena fuerte / alto rendimiento")))</x:f>
      </x:c>
      <x:c r="S42" s="18" t="str">
        <x:f>IF(A42="","",IF(OR(O42&lt;Setup!$B$6,Q42&lt;0),"Rojo",IF(O42&lt;Setup!$B$5,"Amarillo","Verde")))</x:f>
      </x:c>
    </x:row>
    <x:row r="43">
      <x:c r="A43" s="17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 t="str">
        <x:f>IF(B43="","",MIN(100,MAX(0,50+((B43-Setup!$B$4)/MAX(Setup!$B$4,1))*200)))</x:f>
      </x:c>
      <x:c r="N43" s="18" t="str">
        <x:f>IF(A43="","",(H43*Setup!$B$9)+(I43*Setup!$B$10)+(J43*Setup!$B$11)+(K43*Setup!$B$12))</x:f>
      </x:c>
      <x:c r="O43" s="18" t="str">
        <x:f>IF(A43="","",ROUND((0.4*M43)+(0.3*C43)+(0.3*D43)-N43,0))</x:f>
      </x:c>
      <x:c r="P43" s="18" t="str">
        <x:f>IF(A43="","",ROUND((F43*G43*Setup!$B$7)+(E43*Setup!$B$8),0))</x:f>
      </x:c>
      <x:c r="Q43" s="18" t="str">
        <x:f>IF(A43="","",ROUND(O43-(P43/2),0))</x:f>
      </x:c>
      <x:c r="R43" s="18" t="str">
        <x:f>IF(A43="","",IF(OR(O43&lt;Setup!$B$6,Q43&lt;0),"Recuperación activa / descanso",IF(O43&lt;Setup!$B$5,"Entrenamiento moderado","Entrena fuerte / alto rendimiento")))</x:f>
      </x:c>
      <x:c r="S43" s="18" t="str">
        <x:f>IF(A43="","",IF(OR(O43&lt;Setup!$B$6,Q43&lt;0),"Rojo",IF(O43&lt;Setup!$B$5,"Amarillo","Verde")))</x:f>
      </x:c>
    </x:row>
    <x:row r="44">
      <x:c r="A44" s="17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 t="str">
        <x:f>IF(B44="","",MIN(100,MAX(0,50+((B44-Setup!$B$4)/MAX(Setup!$B$4,1))*200)))</x:f>
      </x:c>
      <x:c r="N44" s="18" t="str">
        <x:f>IF(A44="","",(H44*Setup!$B$9)+(I44*Setup!$B$10)+(J44*Setup!$B$11)+(K44*Setup!$B$12))</x:f>
      </x:c>
      <x:c r="O44" s="18" t="str">
        <x:f>IF(A44="","",ROUND((0.4*M44)+(0.3*C44)+(0.3*D44)-N44,0))</x:f>
      </x:c>
      <x:c r="P44" s="18" t="str">
        <x:f>IF(A44="","",ROUND((F44*G44*Setup!$B$7)+(E44*Setup!$B$8),0))</x:f>
      </x:c>
      <x:c r="Q44" s="18" t="str">
        <x:f>IF(A44="","",ROUND(O44-(P44/2),0))</x:f>
      </x:c>
      <x:c r="R44" s="18" t="str">
        <x:f>IF(A44="","",IF(OR(O44&lt;Setup!$B$6,Q44&lt;0),"Recuperación activa / descanso",IF(O44&lt;Setup!$B$5,"Entrenamiento moderado","Entrena fuerte / alto rendimiento")))</x:f>
      </x:c>
      <x:c r="S44" s="18" t="str">
        <x:f>IF(A44="","",IF(OR(O44&lt;Setup!$B$6,Q44&lt;0),"Rojo",IF(O44&lt;Setup!$B$5,"Amarillo","Verde")))</x:f>
      </x:c>
    </x:row>
    <x:row r="45">
      <x:c r="A45" s="17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 t="str">
        <x:f>IF(B45="","",MIN(100,MAX(0,50+((B45-Setup!$B$4)/MAX(Setup!$B$4,1))*200)))</x:f>
      </x:c>
      <x:c r="N45" s="18" t="str">
        <x:f>IF(A45="","",(H45*Setup!$B$9)+(I45*Setup!$B$10)+(J45*Setup!$B$11)+(K45*Setup!$B$12))</x:f>
      </x:c>
      <x:c r="O45" s="18" t="str">
        <x:f>IF(A45="","",ROUND((0.4*M45)+(0.3*C45)+(0.3*D45)-N45,0))</x:f>
      </x:c>
      <x:c r="P45" s="18" t="str">
        <x:f>IF(A45="","",ROUND((F45*G45*Setup!$B$7)+(E45*Setup!$B$8),0))</x:f>
      </x:c>
      <x:c r="Q45" s="18" t="str">
        <x:f>IF(A45="","",ROUND(O45-(P45/2),0))</x:f>
      </x:c>
      <x:c r="R45" s="18" t="str">
        <x:f>IF(A45="","",IF(OR(O45&lt;Setup!$B$6,Q45&lt;0),"Recuperación activa / descanso",IF(O45&lt;Setup!$B$5,"Entrenamiento moderado","Entrena fuerte / alto rendimiento")))</x:f>
      </x:c>
      <x:c r="S45" s="18" t="str">
        <x:f>IF(A45="","",IF(OR(O45&lt;Setup!$B$6,Q45&lt;0),"Rojo",IF(O45&lt;Setup!$B$5,"Amarillo","Verde")))</x:f>
      </x:c>
    </x:row>
    <x:row r="46">
      <x:c r="A46" s="17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 t="str">
        <x:f>IF(B46="","",MIN(100,MAX(0,50+((B46-Setup!$B$4)/MAX(Setup!$B$4,1))*200)))</x:f>
      </x:c>
      <x:c r="N46" s="18" t="str">
        <x:f>IF(A46="","",(H46*Setup!$B$9)+(I46*Setup!$B$10)+(J46*Setup!$B$11)+(K46*Setup!$B$12))</x:f>
      </x:c>
      <x:c r="O46" s="18" t="str">
        <x:f>IF(A46="","",ROUND((0.4*M46)+(0.3*C46)+(0.3*D46)-N46,0))</x:f>
      </x:c>
      <x:c r="P46" s="18" t="str">
        <x:f>IF(A46="","",ROUND((F46*G46*Setup!$B$7)+(E46*Setup!$B$8),0))</x:f>
      </x:c>
      <x:c r="Q46" s="18" t="str">
        <x:f>IF(A46="","",ROUND(O46-(P46/2),0))</x:f>
      </x:c>
      <x:c r="R46" s="18" t="str">
        <x:f>IF(A46="","",IF(OR(O46&lt;Setup!$B$6,Q46&lt;0),"Recuperación activa / descanso",IF(O46&lt;Setup!$B$5,"Entrenamiento moderado","Entrena fuerte / alto rendimiento")))</x:f>
      </x:c>
      <x:c r="S46" s="18" t="str">
        <x:f>IF(A46="","",IF(OR(O46&lt;Setup!$B$6,Q46&lt;0),"Rojo",IF(O46&lt;Setup!$B$5,"Amarillo","Verde")))</x:f>
      </x:c>
    </x:row>
    <x:row r="47">
      <x:c r="A47" s="17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 t="str">
        <x:f>IF(B47="","",MIN(100,MAX(0,50+((B47-Setup!$B$4)/MAX(Setup!$B$4,1))*200)))</x:f>
      </x:c>
      <x:c r="N47" s="18" t="str">
        <x:f>IF(A47="","",(H47*Setup!$B$9)+(I47*Setup!$B$10)+(J47*Setup!$B$11)+(K47*Setup!$B$12))</x:f>
      </x:c>
      <x:c r="O47" s="18" t="str">
        <x:f>IF(A47="","",ROUND((0.4*M47)+(0.3*C47)+(0.3*D47)-N47,0))</x:f>
      </x:c>
      <x:c r="P47" s="18" t="str">
        <x:f>IF(A47="","",ROUND((F47*G47*Setup!$B$7)+(E47*Setup!$B$8),0))</x:f>
      </x:c>
      <x:c r="Q47" s="18" t="str">
        <x:f>IF(A47="","",ROUND(O47-(P47/2),0))</x:f>
      </x:c>
      <x:c r="R47" s="18" t="str">
        <x:f>IF(A47="","",IF(OR(O47&lt;Setup!$B$6,Q47&lt;0),"Recuperación activa / descanso",IF(O47&lt;Setup!$B$5,"Entrenamiento moderado","Entrena fuerte / alto rendimiento")))</x:f>
      </x:c>
      <x:c r="S47" s="18" t="str">
        <x:f>IF(A47="","",IF(OR(O47&lt;Setup!$B$6,Q47&lt;0),"Rojo",IF(O47&lt;Setup!$B$5,"Amarillo","Verde")))</x:f>
      </x:c>
    </x:row>
    <x:row r="48">
      <x:c r="A48" s="17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 t="str">
        <x:f>IF(B48="","",MIN(100,MAX(0,50+((B48-Setup!$B$4)/MAX(Setup!$B$4,1))*200)))</x:f>
      </x:c>
      <x:c r="N48" s="18" t="str">
        <x:f>IF(A48="","",(H48*Setup!$B$9)+(I48*Setup!$B$10)+(J48*Setup!$B$11)+(K48*Setup!$B$12))</x:f>
      </x:c>
      <x:c r="O48" s="18" t="str">
        <x:f>IF(A48="","",ROUND((0.4*M48)+(0.3*C48)+(0.3*D48)-N48,0))</x:f>
      </x:c>
      <x:c r="P48" s="18" t="str">
        <x:f>IF(A48="","",ROUND((F48*G48*Setup!$B$7)+(E48*Setup!$B$8),0))</x:f>
      </x:c>
      <x:c r="Q48" s="18" t="str">
        <x:f>IF(A48="","",ROUND(O48-(P48/2),0))</x:f>
      </x:c>
      <x:c r="R48" s="18" t="str">
        <x:f>IF(A48="","",IF(OR(O48&lt;Setup!$B$6,Q48&lt;0),"Recuperación activa / descanso",IF(O48&lt;Setup!$B$5,"Entrenamiento moderado","Entrena fuerte / alto rendimiento")))</x:f>
      </x:c>
      <x:c r="S48" s="18" t="str">
        <x:f>IF(A48="","",IF(OR(O48&lt;Setup!$B$6,Q48&lt;0),"Rojo",IF(O48&lt;Setup!$B$5,"Amarillo","Verde")))</x:f>
      </x:c>
    </x:row>
    <x:row r="49">
      <x:c r="A49" s="17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 t="str">
        <x:f>IF(B49="","",MIN(100,MAX(0,50+((B49-Setup!$B$4)/MAX(Setup!$B$4,1))*200)))</x:f>
      </x:c>
      <x:c r="N49" s="18" t="str">
        <x:f>IF(A49="","",(H49*Setup!$B$9)+(I49*Setup!$B$10)+(J49*Setup!$B$11)+(K49*Setup!$B$12))</x:f>
      </x:c>
      <x:c r="O49" s="18" t="str">
        <x:f>IF(A49="","",ROUND((0.4*M49)+(0.3*C49)+(0.3*D49)-N49,0))</x:f>
      </x:c>
      <x:c r="P49" s="18" t="str">
        <x:f>IF(A49="","",ROUND((F49*G49*Setup!$B$7)+(E49*Setup!$B$8),0))</x:f>
      </x:c>
      <x:c r="Q49" s="18" t="str">
        <x:f>IF(A49="","",ROUND(O49-(P49/2),0))</x:f>
      </x:c>
      <x:c r="R49" s="18" t="str">
        <x:f>IF(A49="","",IF(OR(O49&lt;Setup!$B$6,Q49&lt;0),"Recuperación activa / descanso",IF(O49&lt;Setup!$B$5,"Entrenamiento moderado","Entrena fuerte / alto rendimiento")))</x:f>
      </x:c>
      <x:c r="S49" s="18" t="str">
        <x:f>IF(A49="","",IF(OR(O49&lt;Setup!$B$6,Q49&lt;0),"Rojo",IF(O49&lt;Setup!$B$5,"Amarillo","Verde")))</x:f>
      </x:c>
    </x:row>
    <x:row r="50">
      <x:c r="A50" s="17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 t="str">
        <x:f>IF(B50="","",MIN(100,MAX(0,50+((B50-Setup!$B$4)/MAX(Setup!$B$4,1))*200)))</x:f>
      </x:c>
      <x:c r="N50" s="18" t="str">
        <x:f>IF(A50="","",(H50*Setup!$B$9)+(I50*Setup!$B$10)+(J50*Setup!$B$11)+(K50*Setup!$B$12))</x:f>
      </x:c>
      <x:c r="O50" s="18" t="str">
        <x:f>IF(A50="","",ROUND((0.4*M50)+(0.3*C50)+(0.3*D50)-N50,0))</x:f>
      </x:c>
      <x:c r="P50" s="18" t="str">
        <x:f>IF(A50="","",ROUND((F50*G50*Setup!$B$7)+(E50*Setup!$B$8),0))</x:f>
      </x:c>
      <x:c r="Q50" s="18" t="str">
        <x:f>IF(A50="","",ROUND(O50-(P50/2),0))</x:f>
      </x:c>
      <x:c r="R50" s="18" t="str">
        <x:f>IF(A50="","",IF(OR(O50&lt;Setup!$B$6,Q50&lt;0),"Recuperación activa / descanso",IF(O50&lt;Setup!$B$5,"Entrenamiento moderado","Entrena fuerte / alto rendimiento")))</x:f>
      </x:c>
      <x:c r="S50" s="18" t="str">
        <x:f>IF(A50="","",IF(OR(O50&lt;Setup!$B$6,Q50&lt;0),"Rojo",IF(O50&lt;Setup!$B$5,"Amarillo","Verde")))</x:f>
      </x:c>
    </x:row>
    <x:row r="51">
      <x:c r="A51" s="17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 t="str">
        <x:f>IF(B51="","",MIN(100,MAX(0,50+((B51-Setup!$B$4)/MAX(Setup!$B$4,1))*200)))</x:f>
      </x:c>
      <x:c r="N51" s="18" t="str">
        <x:f>IF(A51="","",(H51*Setup!$B$9)+(I51*Setup!$B$10)+(J51*Setup!$B$11)+(K51*Setup!$B$12))</x:f>
      </x:c>
      <x:c r="O51" s="18" t="str">
        <x:f>IF(A51="","",ROUND((0.4*M51)+(0.3*C51)+(0.3*D51)-N51,0))</x:f>
      </x:c>
      <x:c r="P51" s="18" t="str">
        <x:f>IF(A51="","",ROUND((F51*G51*Setup!$B$7)+(E51*Setup!$B$8),0))</x:f>
      </x:c>
      <x:c r="Q51" s="18" t="str">
        <x:f>IF(A51="","",ROUND(O51-(P51/2),0))</x:f>
      </x:c>
      <x:c r="R51" s="18" t="str">
        <x:f>IF(A51="","",IF(OR(O51&lt;Setup!$B$6,Q51&lt;0),"Recuperación activa / descanso",IF(O51&lt;Setup!$B$5,"Entrenamiento moderado","Entrena fuerte / alto rendimiento")))</x:f>
      </x:c>
      <x:c r="S51" s="18" t="str">
        <x:f>IF(A51="","",IF(OR(O51&lt;Setup!$B$6,Q51&lt;0),"Rojo",IF(O51&lt;Setup!$B$5,"Amarillo","Verde")))</x:f>
      </x:c>
    </x:row>
    <x:row r="52">
      <x:c r="A52" s="17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 t="str">
        <x:f>IF(B52="","",MIN(100,MAX(0,50+((B52-Setup!$B$4)/MAX(Setup!$B$4,1))*200)))</x:f>
      </x:c>
      <x:c r="N52" s="18" t="str">
        <x:f>IF(A52="","",(H52*Setup!$B$9)+(I52*Setup!$B$10)+(J52*Setup!$B$11)+(K52*Setup!$B$12))</x:f>
      </x:c>
      <x:c r="O52" s="18" t="str">
        <x:f>IF(A52="","",ROUND((0.4*M52)+(0.3*C52)+(0.3*D52)-N52,0))</x:f>
      </x:c>
      <x:c r="P52" s="18" t="str">
        <x:f>IF(A52="","",ROUND((F52*G52*Setup!$B$7)+(E52*Setup!$B$8),0))</x:f>
      </x:c>
      <x:c r="Q52" s="18" t="str">
        <x:f>IF(A52="","",ROUND(O52-(P52/2),0))</x:f>
      </x:c>
      <x:c r="R52" s="18" t="str">
        <x:f>IF(A52="","",IF(OR(O52&lt;Setup!$B$6,Q52&lt;0),"Recuperación activa / descanso",IF(O52&lt;Setup!$B$5,"Entrenamiento moderado","Entrena fuerte / alto rendimiento")))</x:f>
      </x:c>
      <x:c r="S52" s="18" t="str">
        <x:f>IF(A52="","",IF(OR(O52&lt;Setup!$B$6,Q52&lt;0),"Rojo",IF(O52&lt;Setup!$B$5,"Amarillo","Verde")))</x:f>
      </x:c>
    </x:row>
    <x:row r="53">
      <x:c r="A53" s="17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 t="str">
        <x:f>IF(B53="","",MIN(100,MAX(0,50+((B53-Setup!$B$4)/MAX(Setup!$B$4,1))*200)))</x:f>
      </x:c>
      <x:c r="N53" s="18" t="str">
        <x:f>IF(A53="","",(H53*Setup!$B$9)+(I53*Setup!$B$10)+(J53*Setup!$B$11)+(K53*Setup!$B$12))</x:f>
      </x:c>
      <x:c r="O53" s="18" t="str">
        <x:f>IF(A53="","",ROUND((0.4*M53)+(0.3*C53)+(0.3*D53)-N53,0))</x:f>
      </x:c>
      <x:c r="P53" s="18" t="str">
        <x:f>IF(A53="","",ROUND((F53*G53*Setup!$B$7)+(E53*Setup!$B$8),0))</x:f>
      </x:c>
      <x:c r="Q53" s="18" t="str">
        <x:f>IF(A53="","",ROUND(O53-(P53/2),0))</x:f>
      </x:c>
      <x:c r="R53" s="18" t="str">
        <x:f>IF(A53="","",IF(OR(O53&lt;Setup!$B$6,Q53&lt;0),"Recuperación activa / descanso",IF(O53&lt;Setup!$B$5,"Entrenamiento moderado","Entrena fuerte / alto rendimiento")))</x:f>
      </x:c>
      <x:c r="S53" s="18" t="str">
        <x:f>IF(A53="","",IF(OR(O53&lt;Setup!$B$6,Q53&lt;0),"Rojo",IF(O53&lt;Setup!$B$5,"Amarillo","Verde")))</x:f>
      </x:c>
    </x:row>
    <x:row r="54">
      <x:c r="A54" s="17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 t="str">
        <x:f>IF(B54="","",MIN(100,MAX(0,50+((B54-Setup!$B$4)/MAX(Setup!$B$4,1))*200)))</x:f>
      </x:c>
      <x:c r="N54" s="18" t="str">
        <x:f>IF(A54="","",(H54*Setup!$B$9)+(I54*Setup!$B$10)+(J54*Setup!$B$11)+(K54*Setup!$B$12))</x:f>
      </x:c>
      <x:c r="O54" s="18" t="str">
        <x:f>IF(A54="","",ROUND((0.4*M54)+(0.3*C54)+(0.3*D54)-N54,0))</x:f>
      </x:c>
      <x:c r="P54" s="18" t="str">
        <x:f>IF(A54="","",ROUND((F54*G54*Setup!$B$7)+(E54*Setup!$B$8),0))</x:f>
      </x:c>
      <x:c r="Q54" s="18" t="str">
        <x:f>IF(A54="","",ROUND(O54-(P54/2),0))</x:f>
      </x:c>
      <x:c r="R54" s="18" t="str">
        <x:f>IF(A54="","",IF(OR(O54&lt;Setup!$B$6,Q54&lt;0),"Recuperación activa / descanso",IF(O54&lt;Setup!$B$5,"Entrenamiento moderado","Entrena fuerte / alto rendimiento")))</x:f>
      </x:c>
      <x:c r="S54" s="18" t="str">
        <x:f>IF(A54="","",IF(OR(O54&lt;Setup!$B$6,Q54&lt;0),"Rojo",IF(O54&lt;Setup!$B$5,"Amarillo","Verde")))</x:f>
      </x:c>
    </x:row>
    <x:row r="55">
      <x:c r="A55" s="17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 t="str">
        <x:f>IF(B55="","",MIN(100,MAX(0,50+((B55-Setup!$B$4)/MAX(Setup!$B$4,1))*200)))</x:f>
      </x:c>
      <x:c r="N55" s="18" t="str">
        <x:f>IF(A55="","",(H55*Setup!$B$9)+(I55*Setup!$B$10)+(J55*Setup!$B$11)+(K55*Setup!$B$12))</x:f>
      </x:c>
      <x:c r="O55" s="18" t="str">
        <x:f>IF(A55="","",ROUND((0.4*M55)+(0.3*C55)+(0.3*D55)-N55,0))</x:f>
      </x:c>
      <x:c r="P55" s="18" t="str">
        <x:f>IF(A55="","",ROUND((F55*G55*Setup!$B$7)+(E55*Setup!$B$8),0))</x:f>
      </x:c>
      <x:c r="Q55" s="18" t="str">
        <x:f>IF(A55="","",ROUND(O55-(P55/2),0))</x:f>
      </x:c>
      <x:c r="R55" s="18" t="str">
        <x:f>IF(A55="","",IF(OR(O55&lt;Setup!$B$6,Q55&lt;0),"Recuperación activa / descanso",IF(O55&lt;Setup!$B$5,"Entrenamiento moderado","Entrena fuerte / alto rendimiento")))</x:f>
      </x:c>
      <x:c r="S55" s="18" t="str">
        <x:f>IF(A55="","",IF(OR(O55&lt;Setup!$B$6,Q55&lt;0),"Rojo",IF(O55&lt;Setup!$B$5,"Amarillo","Verde")))</x:f>
      </x:c>
    </x:row>
    <x:row r="56">
      <x:c r="A56" s="17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 t="str">
        <x:f>IF(B56="","",MIN(100,MAX(0,50+((B56-Setup!$B$4)/MAX(Setup!$B$4,1))*200)))</x:f>
      </x:c>
      <x:c r="N56" s="18" t="str">
        <x:f>IF(A56="","",(H56*Setup!$B$9)+(I56*Setup!$B$10)+(J56*Setup!$B$11)+(K56*Setup!$B$12))</x:f>
      </x:c>
      <x:c r="O56" s="18" t="str">
        <x:f>IF(A56="","",ROUND((0.4*M56)+(0.3*C56)+(0.3*D56)-N56,0))</x:f>
      </x:c>
      <x:c r="P56" s="18" t="str">
        <x:f>IF(A56="","",ROUND((F56*G56*Setup!$B$7)+(E56*Setup!$B$8),0))</x:f>
      </x:c>
      <x:c r="Q56" s="18" t="str">
        <x:f>IF(A56="","",ROUND(O56-(P56/2),0))</x:f>
      </x:c>
      <x:c r="R56" s="18" t="str">
        <x:f>IF(A56="","",IF(OR(O56&lt;Setup!$B$6,Q56&lt;0),"Recuperación activa / descanso",IF(O56&lt;Setup!$B$5,"Entrenamiento moderado","Entrena fuerte / alto rendimiento")))</x:f>
      </x:c>
      <x:c r="S56" s="18" t="str">
        <x:f>IF(A56="","",IF(OR(O56&lt;Setup!$B$6,Q56&lt;0),"Rojo",IF(O56&lt;Setup!$B$5,"Amarillo","Verde")))</x:f>
      </x:c>
    </x:row>
    <x:row r="57">
      <x:c r="A57" s="17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 t="str">
        <x:f>IF(B57="","",MIN(100,MAX(0,50+((B57-Setup!$B$4)/MAX(Setup!$B$4,1))*200)))</x:f>
      </x:c>
      <x:c r="N57" s="18" t="str">
        <x:f>IF(A57="","",(H57*Setup!$B$9)+(I57*Setup!$B$10)+(J57*Setup!$B$11)+(K57*Setup!$B$12))</x:f>
      </x:c>
      <x:c r="O57" s="18" t="str">
        <x:f>IF(A57="","",ROUND((0.4*M57)+(0.3*C57)+(0.3*D57)-N57,0))</x:f>
      </x:c>
      <x:c r="P57" s="18" t="str">
        <x:f>IF(A57="","",ROUND((F57*G57*Setup!$B$7)+(E57*Setup!$B$8),0))</x:f>
      </x:c>
      <x:c r="Q57" s="18" t="str">
        <x:f>IF(A57="","",ROUND(O57-(P57/2),0))</x:f>
      </x:c>
      <x:c r="R57" s="18" t="str">
        <x:f>IF(A57="","",IF(OR(O57&lt;Setup!$B$6,Q57&lt;0),"Recuperación activa / descanso",IF(O57&lt;Setup!$B$5,"Entrenamiento moderado","Entrena fuerte / alto rendimiento")))</x:f>
      </x:c>
      <x:c r="S57" s="18" t="str">
        <x:f>IF(A57="","",IF(OR(O57&lt;Setup!$B$6,Q57&lt;0),"Rojo",IF(O57&lt;Setup!$B$5,"Amarillo","Verde")))</x:f>
      </x:c>
    </x:row>
    <x:row r="58">
      <x:c r="A58" s="17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 t="str">
        <x:f>IF(B58="","",MIN(100,MAX(0,50+((B58-Setup!$B$4)/MAX(Setup!$B$4,1))*200)))</x:f>
      </x:c>
      <x:c r="N58" s="18" t="str">
        <x:f>IF(A58="","",(H58*Setup!$B$9)+(I58*Setup!$B$10)+(J58*Setup!$B$11)+(K58*Setup!$B$12))</x:f>
      </x:c>
      <x:c r="O58" s="18" t="str">
        <x:f>IF(A58="","",ROUND((0.4*M58)+(0.3*C58)+(0.3*D58)-N58,0))</x:f>
      </x:c>
      <x:c r="P58" s="18" t="str">
        <x:f>IF(A58="","",ROUND((F58*G58*Setup!$B$7)+(E58*Setup!$B$8),0))</x:f>
      </x:c>
      <x:c r="Q58" s="18" t="str">
        <x:f>IF(A58="","",ROUND(O58-(P58/2),0))</x:f>
      </x:c>
      <x:c r="R58" s="18" t="str">
        <x:f>IF(A58="","",IF(OR(O58&lt;Setup!$B$6,Q58&lt;0),"Recuperación activa / descanso",IF(O58&lt;Setup!$B$5,"Entrenamiento moderado","Entrena fuerte / alto rendimiento")))</x:f>
      </x:c>
      <x:c r="S58" s="18" t="str">
        <x:f>IF(A58="","",IF(OR(O58&lt;Setup!$B$6,Q58&lt;0),"Rojo",IF(O58&lt;Setup!$B$5,"Amarillo","Verde")))</x:f>
      </x:c>
    </x:row>
    <x:row r="59">
      <x:c r="A59" s="17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 t="str">
        <x:f>IF(B59="","",MIN(100,MAX(0,50+((B59-Setup!$B$4)/MAX(Setup!$B$4,1))*200)))</x:f>
      </x:c>
      <x:c r="N59" s="18" t="str">
        <x:f>IF(A59="","",(H59*Setup!$B$9)+(I59*Setup!$B$10)+(J59*Setup!$B$11)+(K59*Setup!$B$12))</x:f>
      </x:c>
      <x:c r="O59" s="18" t="str">
        <x:f>IF(A59="","",ROUND((0.4*M59)+(0.3*C59)+(0.3*D59)-N59,0))</x:f>
      </x:c>
      <x:c r="P59" s="18" t="str">
        <x:f>IF(A59="","",ROUND((F59*G59*Setup!$B$7)+(E59*Setup!$B$8),0))</x:f>
      </x:c>
      <x:c r="Q59" s="18" t="str">
        <x:f>IF(A59="","",ROUND(O59-(P59/2),0))</x:f>
      </x:c>
      <x:c r="R59" s="18" t="str">
        <x:f>IF(A59="","",IF(OR(O59&lt;Setup!$B$6,Q59&lt;0),"Recuperación activa / descanso",IF(O59&lt;Setup!$B$5,"Entrenamiento moderado","Entrena fuerte / alto rendimiento")))</x:f>
      </x:c>
      <x:c r="S59" s="18" t="str">
        <x:f>IF(A59="","",IF(OR(O59&lt;Setup!$B$6,Q59&lt;0),"Rojo",IF(O59&lt;Setup!$B$5,"Amarillo","Verde")))</x:f>
      </x:c>
    </x:row>
    <x:row r="60">
      <x:c r="A60" s="17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 t="str">
        <x:f>IF(B60="","",MIN(100,MAX(0,50+((B60-Setup!$B$4)/MAX(Setup!$B$4,1))*200)))</x:f>
      </x:c>
      <x:c r="N60" s="18" t="str">
        <x:f>IF(A60="","",(H60*Setup!$B$9)+(I60*Setup!$B$10)+(J60*Setup!$B$11)+(K60*Setup!$B$12))</x:f>
      </x:c>
      <x:c r="O60" s="18" t="str">
        <x:f>IF(A60="","",ROUND((0.4*M60)+(0.3*C60)+(0.3*D60)-N60,0))</x:f>
      </x:c>
      <x:c r="P60" s="18" t="str">
        <x:f>IF(A60="","",ROUND((F60*G60*Setup!$B$7)+(E60*Setup!$B$8),0))</x:f>
      </x:c>
      <x:c r="Q60" s="18" t="str">
        <x:f>IF(A60="","",ROUND(O60-(P60/2),0))</x:f>
      </x:c>
      <x:c r="R60" s="18" t="str">
        <x:f>IF(A60="","",IF(OR(O60&lt;Setup!$B$6,Q60&lt;0),"Recuperación activa / descanso",IF(O60&lt;Setup!$B$5,"Entrenamiento moderado","Entrena fuerte / alto rendimiento")))</x:f>
      </x:c>
      <x:c r="S60" s="18" t="str">
        <x:f>IF(A60="","",IF(OR(O60&lt;Setup!$B$6,Q60&lt;0),"Rojo",IF(O60&lt;Setup!$B$5,"Amarillo","Verde")))</x:f>
      </x:c>
    </x:row>
    <x:row r="61">
      <x:c r="A61" s="17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 t="str">
        <x:f>IF(B61="","",MIN(100,MAX(0,50+((B61-Setup!$B$4)/MAX(Setup!$B$4,1))*200)))</x:f>
      </x:c>
      <x:c r="N61" s="18" t="str">
        <x:f>IF(A61="","",(H61*Setup!$B$9)+(I61*Setup!$B$10)+(J61*Setup!$B$11)+(K61*Setup!$B$12))</x:f>
      </x:c>
      <x:c r="O61" s="18" t="str">
        <x:f>IF(A61="","",ROUND((0.4*M61)+(0.3*C61)+(0.3*D61)-N61,0))</x:f>
      </x:c>
      <x:c r="P61" s="18" t="str">
        <x:f>IF(A61="","",ROUND((F61*G61*Setup!$B$7)+(E61*Setup!$B$8),0))</x:f>
      </x:c>
      <x:c r="Q61" s="18" t="str">
        <x:f>IF(A61="","",ROUND(O61-(P61/2),0))</x:f>
      </x:c>
      <x:c r="R61" s="18" t="str">
        <x:f>IF(A61="","",IF(OR(O61&lt;Setup!$B$6,Q61&lt;0),"Recuperación activa / descanso",IF(O61&lt;Setup!$B$5,"Entrenamiento moderado","Entrena fuerte / alto rendimiento")))</x:f>
      </x:c>
      <x:c r="S61" s="18" t="str">
        <x:f>IF(A61="","",IF(OR(O61&lt;Setup!$B$6,Q61&lt;0),"Rojo",IF(O61&lt;Setup!$B$5,"Amarillo","Verde")))</x:f>
      </x:c>
    </x:row>
    <x:row r="62">
      <x:c r="A62" s="17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 t="str">
        <x:f>IF(B62="","",MIN(100,MAX(0,50+((B62-Setup!$B$4)/MAX(Setup!$B$4,1))*200)))</x:f>
      </x:c>
      <x:c r="N62" s="18" t="str">
        <x:f>IF(A62="","",(H62*Setup!$B$9)+(I62*Setup!$B$10)+(J62*Setup!$B$11)+(K62*Setup!$B$12))</x:f>
      </x:c>
      <x:c r="O62" s="18" t="str">
        <x:f>IF(A62="","",ROUND((0.4*M62)+(0.3*C62)+(0.3*D62)-N62,0))</x:f>
      </x:c>
      <x:c r="P62" s="18" t="str">
        <x:f>IF(A62="","",ROUND((F62*G62*Setup!$B$7)+(E62*Setup!$B$8),0))</x:f>
      </x:c>
      <x:c r="Q62" s="18" t="str">
        <x:f>IF(A62="","",ROUND(O62-(P62/2),0))</x:f>
      </x:c>
      <x:c r="R62" s="18" t="str">
        <x:f>IF(A62="","",IF(OR(O62&lt;Setup!$B$6,Q62&lt;0),"Recuperación activa / descanso",IF(O62&lt;Setup!$B$5,"Entrenamiento moderado","Entrena fuerte / alto rendimiento")))</x:f>
      </x:c>
      <x:c r="S62" s="18" t="str">
        <x:f>IF(A62="","",IF(OR(O62&lt;Setup!$B$6,Q62&lt;0),"Rojo",IF(O62&lt;Setup!$B$5,"Amarillo","Verde")))</x:f>
      </x:c>
    </x:row>
    <x:row r="63">
      <x:c r="A63" s="17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 t="str">
        <x:f>IF(B63="","",MIN(100,MAX(0,50+((B63-Setup!$B$4)/MAX(Setup!$B$4,1))*200)))</x:f>
      </x:c>
      <x:c r="N63" s="18" t="str">
        <x:f>IF(A63="","",(H63*Setup!$B$9)+(I63*Setup!$B$10)+(J63*Setup!$B$11)+(K63*Setup!$B$12))</x:f>
      </x:c>
      <x:c r="O63" s="18" t="str">
        <x:f>IF(A63="","",ROUND((0.4*M63)+(0.3*C63)+(0.3*D63)-N63,0))</x:f>
      </x:c>
      <x:c r="P63" s="18" t="str">
        <x:f>IF(A63="","",ROUND((F63*G63*Setup!$B$7)+(E63*Setup!$B$8),0))</x:f>
      </x:c>
      <x:c r="Q63" s="18" t="str">
        <x:f>IF(A63="","",ROUND(O63-(P63/2),0))</x:f>
      </x:c>
      <x:c r="R63" s="18" t="str">
        <x:f>IF(A63="","",IF(OR(O63&lt;Setup!$B$6,Q63&lt;0),"Recuperación activa / descanso",IF(O63&lt;Setup!$B$5,"Entrenamiento moderado","Entrena fuerte / alto rendimiento")))</x:f>
      </x:c>
      <x:c r="S63" s="18" t="str">
        <x:f>IF(A63="","",IF(OR(O63&lt;Setup!$B$6,Q63&lt;0),"Rojo",IF(O63&lt;Setup!$B$5,"Amarillo","Verde")))</x:f>
      </x:c>
    </x:row>
    <x:row r="64">
      <x:c r="A64" s="17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 t="str">
        <x:f>IF(B64="","",MIN(100,MAX(0,50+((B64-Setup!$B$4)/MAX(Setup!$B$4,1))*200)))</x:f>
      </x:c>
      <x:c r="N64" s="18" t="str">
        <x:f>IF(A64="","",(H64*Setup!$B$9)+(I64*Setup!$B$10)+(J64*Setup!$B$11)+(K64*Setup!$B$12))</x:f>
      </x:c>
      <x:c r="O64" s="18" t="str">
        <x:f>IF(A64="","",ROUND((0.4*M64)+(0.3*C64)+(0.3*D64)-N64,0))</x:f>
      </x:c>
      <x:c r="P64" s="18" t="str">
        <x:f>IF(A64="","",ROUND((F64*G64*Setup!$B$7)+(E64*Setup!$B$8),0))</x:f>
      </x:c>
      <x:c r="Q64" s="18" t="str">
        <x:f>IF(A64="","",ROUND(O64-(P64/2),0))</x:f>
      </x:c>
      <x:c r="R64" s="18" t="str">
        <x:f>IF(A64="","",IF(OR(O64&lt;Setup!$B$6,Q64&lt;0),"Recuperación activa / descanso",IF(O64&lt;Setup!$B$5,"Entrenamiento moderado","Entrena fuerte / alto rendimiento")))</x:f>
      </x:c>
      <x:c r="S64" s="18" t="str">
        <x:f>IF(A64="","",IF(OR(O64&lt;Setup!$B$6,Q64&lt;0),"Rojo",IF(O64&lt;Setup!$B$5,"Amarillo","Verde")))</x:f>
      </x:c>
    </x:row>
    <x:row r="65">
      <x:c r="A65" s="17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 t="str">
        <x:f>IF(B65="","",MIN(100,MAX(0,50+((B65-Setup!$B$4)/MAX(Setup!$B$4,1))*200)))</x:f>
      </x:c>
      <x:c r="N65" s="18" t="str">
        <x:f>IF(A65="","",(H65*Setup!$B$9)+(I65*Setup!$B$10)+(J65*Setup!$B$11)+(K65*Setup!$B$12))</x:f>
      </x:c>
      <x:c r="O65" s="18" t="str">
        <x:f>IF(A65="","",ROUND((0.4*M65)+(0.3*C65)+(0.3*D65)-N65,0))</x:f>
      </x:c>
      <x:c r="P65" s="18" t="str">
        <x:f>IF(A65="","",ROUND((F65*G65*Setup!$B$7)+(E65*Setup!$B$8),0))</x:f>
      </x:c>
      <x:c r="Q65" s="18" t="str">
        <x:f>IF(A65="","",ROUND(O65-(P65/2),0))</x:f>
      </x:c>
      <x:c r="R65" s="18" t="str">
        <x:f>IF(A65="","",IF(OR(O65&lt;Setup!$B$6,Q65&lt;0),"Recuperación activa / descanso",IF(O65&lt;Setup!$B$5,"Entrenamiento moderado","Entrena fuerte / alto rendimiento")))</x:f>
      </x:c>
      <x:c r="S65" s="18" t="str">
        <x:f>IF(A65="","",IF(OR(O65&lt;Setup!$B$6,Q65&lt;0),"Rojo",IF(O65&lt;Setup!$B$5,"Amarillo","Verde")))</x:f>
      </x:c>
    </x:row>
    <x:row r="66">
      <x:c r="A66" s="17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 t="str">
        <x:f>IF(B66="","",MIN(100,MAX(0,50+((B66-Setup!$B$4)/MAX(Setup!$B$4,1))*200)))</x:f>
      </x:c>
      <x:c r="N66" s="18" t="str">
        <x:f>IF(A66="","",(H66*Setup!$B$9)+(I66*Setup!$B$10)+(J66*Setup!$B$11)+(K66*Setup!$B$12))</x:f>
      </x:c>
      <x:c r="O66" s="18" t="str">
        <x:f>IF(A66="","",ROUND((0.4*M66)+(0.3*C66)+(0.3*D66)-N66,0))</x:f>
      </x:c>
      <x:c r="P66" s="18" t="str">
        <x:f>IF(A66="","",ROUND((F66*G66*Setup!$B$7)+(E66*Setup!$B$8),0))</x:f>
      </x:c>
      <x:c r="Q66" s="18" t="str">
        <x:f>IF(A66="","",ROUND(O66-(P66/2),0))</x:f>
      </x:c>
      <x:c r="R66" s="18" t="str">
        <x:f>IF(A66="","",IF(OR(O66&lt;Setup!$B$6,Q66&lt;0),"Recuperación activa / descanso",IF(O66&lt;Setup!$B$5,"Entrenamiento moderado","Entrena fuerte / alto rendimiento")))</x:f>
      </x:c>
      <x:c r="S66" s="18" t="str">
        <x:f>IF(A66="","",IF(OR(O66&lt;Setup!$B$6,Q66&lt;0),"Rojo",IF(O66&lt;Setup!$B$5,"Amarillo","Verde")))</x:f>
      </x:c>
    </x:row>
    <x:row r="67">
      <x:c r="A67" s="17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 t="str">
        <x:f>IF(B67="","",MIN(100,MAX(0,50+((B67-Setup!$B$4)/MAX(Setup!$B$4,1))*200)))</x:f>
      </x:c>
      <x:c r="N67" s="18" t="str">
        <x:f>IF(A67="","",(H67*Setup!$B$9)+(I67*Setup!$B$10)+(J67*Setup!$B$11)+(K67*Setup!$B$12))</x:f>
      </x:c>
      <x:c r="O67" s="18" t="str">
        <x:f>IF(A67="","",ROUND((0.4*M67)+(0.3*C67)+(0.3*D67)-N67,0))</x:f>
      </x:c>
      <x:c r="P67" s="18" t="str">
        <x:f>IF(A67="","",ROUND((F67*G67*Setup!$B$7)+(E67*Setup!$B$8),0))</x:f>
      </x:c>
      <x:c r="Q67" s="18" t="str">
        <x:f>IF(A67="","",ROUND(O67-(P67/2),0))</x:f>
      </x:c>
      <x:c r="R67" s="18" t="str">
        <x:f>IF(A67="","",IF(OR(O67&lt;Setup!$B$6,Q67&lt;0),"Recuperación activa / descanso",IF(O67&lt;Setup!$B$5,"Entrenamiento moderado","Entrena fuerte / alto rendimiento")))</x:f>
      </x:c>
      <x:c r="S67" s="18" t="str">
        <x:f>IF(A67="","",IF(OR(O67&lt;Setup!$B$6,Q67&lt;0),"Rojo",IF(O67&lt;Setup!$B$5,"Amarillo","Verde")))</x:f>
      </x:c>
    </x:row>
    <x:row r="68">
      <x:c r="A68" s="17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 t="str">
        <x:f>IF(B68="","",MIN(100,MAX(0,50+((B68-Setup!$B$4)/MAX(Setup!$B$4,1))*200)))</x:f>
      </x:c>
      <x:c r="N68" s="18" t="str">
        <x:f>IF(A68="","",(H68*Setup!$B$9)+(I68*Setup!$B$10)+(J68*Setup!$B$11)+(K68*Setup!$B$12))</x:f>
      </x:c>
      <x:c r="O68" s="18" t="str">
        <x:f>IF(A68="","",ROUND((0.4*M68)+(0.3*C68)+(0.3*D68)-N68,0))</x:f>
      </x:c>
      <x:c r="P68" s="18" t="str">
        <x:f>IF(A68="","",ROUND((F68*G68*Setup!$B$7)+(E68*Setup!$B$8),0))</x:f>
      </x:c>
      <x:c r="Q68" s="18" t="str">
        <x:f>IF(A68="","",ROUND(O68-(P68/2),0))</x:f>
      </x:c>
      <x:c r="R68" s="18" t="str">
        <x:f>IF(A68="","",IF(OR(O68&lt;Setup!$B$6,Q68&lt;0),"Recuperación activa / descanso",IF(O68&lt;Setup!$B$5,"Entrenamiento moderado","Entrena fuerte / alto rendimiento")))</x:f>
      </x:c>
      <x:c r="S68" s="18" t="str">
        <x:f>IF(A68="","",IF(OR(O68&lt;Setup!$B$6,Q68&lt;0),"Rojo",IF(O68&lt;Setup!$B$5,"Amarillo","Verde")))</x:f>
      </x:c>
    </x:row>
    <x:row r="69">
      <x:c r="A69" s="17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 t="str">
        <x:f>IF(B69="","",MIN(100,MAX(0,50+((B69-Setup!$B$4)/MAX(Setup!$B$4,1))*200)))</x:f>
      </x:c>
      <x:c r="N69" s="18" t="str">
        <x:f>IF(A69="","",(H69*Setup!$B$9)+(I69*Setup!$B$10)+(J69*Setup!$B$11)+(K69*Setup!$B$12))</x:f>
      </x:c>
      <x:c r="O69" s="18" t="str">
        <x:f>IF(A69="","",ROUND((0.4*M69)+(0.3*C69)+(0.3*D69)-N69,0))</x:f>
      </x:c>
      <x:c r="P69" s="18" t="str">
        <x:f>IF(A69="","",ROUND((F69*G69*Setup!$B$7)+(E69*Setup!$B$8),0))</x:f>
      </x:c>
      <x:c r="Q69" s="18" t="str">
        <x:f>IF(A69="","",ROUND(O69-(P69/2),0))</x:f>
      </x:c>
      <x:c r="R69" s="18" t="str">
        <x:f>IF(A69="","",IF(OR(O69&lt;Setup!$B$6,Q69&lt;0),"Recuperación activa / descanso",IF(O69&lt;Setup!$B$5,"Entrenamiento moderado","Entrena fuerte / alto rendimiento")))</x:f>
      </x:c>
      <x:c r="S69" s="18" t="str">
        <x:f>IF(A69="","",IF(OR(O69&lt;Setup!$B$6,Q69&lt;0),"Rojo",IF(O69&lt;Setup!$B$5,"Amarillo","Verde")))</x:f>
      </x:c>
    </x:row>
    <x:row r="70">
      <x:c r="A70" s="17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 t="str">
        <x:f>IF(B70="","",MIN(100,MAX(0,50+((B70-Setup!$B$4)/MAX(Setup!$B$4,1))*200)))</x:f>
      </x:c>
      <x:c r="N70" s="18" t="str">
        <x:f>IF(A70="","",(H70*Setup!$B$9)+(I70*Setup!$B$10)+(J70*Setup!$B$11)+(K70*Setup!$B$12))</x:f>
      </x:c>
      <x:c r="O70" s="18" t="str">
        <x:f>IF(A70="","",ROUND((0.4*M70)+(0.3*C70)+(0.3*D70)-N70,0))</x:f>
      </x:c>
      <x:c r="P70" s="18" t="str">
        <x:f>IF(A70="","",ROUND((F70*G70*Setup!$B$7)+(E70*Setup!$B$8),0))</x:f>
      </x:c>
      <x:c r="Q70" s="18" t="str">
        <x:f>IF(A70="","",ROUND(O70-(P70/2),0))</x:f>
      </x:c>
      <x:c r="R70" s="18" t="str">
        <x:f>IF(A70="","",IF(OR(O70&lt;Setup!$B$6,Q70&lt;0),"Recuperación activa / descanso",IF(O70&lt;Setup!$B$5,"Entrenamiento moderado","Entrena fuerte / alto rendimiento")))</x:f>
      </x:c>
      <x:c r="S70" s="18" t="str">
        <x:f>IF(A70="","",IF(OR(O70&lt;Setup!$B$6,Q70&lt;0),"Rojo",IF(O70&lt;Setup!$B$5,"Amarillo","Verde")))</x:f>
      </x:c>
    </x:row>
    <x:row r="71">
      <x:c r="A71" s="17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 t="str">
        <x:f>IF(B71="","",MIN(100,MAX(0,50+((B71-Setup!$B$4)/MAX(Setup!$B$4,1))*200)))</x:f>
      </x:c>
      <x:c r="N71" s="18" t="str">
        <x:f>IF(A71="","",(H71*Setup!$B$9)+(I71*Setup!$B$10)+(J71*Setup!$B$11)+(K71*Setup!$B$12))</x:f>
      </x:c>
      <x:c r="O71" s="18" t="str">
        <x:f>IF(A71="","",ROUND((0.4*M71)+(0.3*C71)+(0.3*D71)-N71,0))</x:f>
      </x:c>
      <x:c r="P71" s="18" t="str">
        <x:f>IF(A71="","",ROUND((F71*G71*Setup!$B$7)+(E71*Setup!$B$8),0))</x:f>
      </x:c>
      <x:c r="Q71" s="18" t="str">
        <x:f>IF(A71="","",ROUND(O71-(P71/2),0))</x:f>
      </x:c>
      <x:c r="R71" s="18" t="str">
        <x:f>IF(A71="","",IF(OR(O71&lt;Setup!$B$6,Q71&lt;0),"Recuperación activa / descanso",IF(O71&lt;Setup!$B$5,"Entrenamiento moderado","Entrena fuerte / alto rendimiento")))</x:f>
      </x:c>
      <x:c r="S71" s="18" t="str">
        <x:f>IF(A71="","",IF(OR(O71&lt;Setup!$B$6,Q71&lt;0),"Rojo",IF(O71&lt;Setup!$B$5,"Amarillo","Verde")))</x:f>
      </x:c>
    </x:row>
    <x:row r="72">
      <x:c r="A72" s="17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 t="str">
        <x:f>IF(B72="","",MIN(100,MAX(0,50+((B72-Setup!$B$4)/MAX(Setup!$B$4,1))*200)))</x:f>
      </x:c>
      <x:c r="N72" s="18" t="str">
        <x:f>IF(A72="","",(H72*Setup!$B$9)+(I72*Setup!$B$10)+(J72*Setup!$B$11)+(K72*Setup!$B$12))</x:f>
      </x:c>
      <x:c r="O72" s="18" t="str">
        <x:f>IF(A72="","",ROUND((0.4*M72)+(0.3*C72)+(0.3*D72)-N72,0))</x:f>
      </x:c>
      <x:c r="P72" s="18" t="str">
        <x:f>IF(A72="","",ROUND((F72*G72*Setup!$B$7)+(E72*Setup!$B$8),0))</x:f>
      </x:c>
      <x:c r="Q72" s="18" t="str">
        <x:f>IF(A72="","",ROUND(O72-(P72/2),0))</x:f>
      </x:c>
      <x:c r="R72" s="18" t="str">
        <x:f>IF(A72="","",IF(OR(O72&lt;Setup!$B$6,Q72&lt;0),"Recuperación activa / descanso",IF(O72&lt;Setup!$B$5,"Entrenamiento moderado","Entrena fuerte / alto rendimiento")))</x:f>
      </x:c>
      <x:c r="S72" s="18" t="str">
        <x:f>IF(A72="","",IF(OR(O72&lt;Setup!$B$6,Q72&lt;0),"Rojo",IF(O72&lt;Setup!$B$5,"Amarillo","Verde")))</x:f>
      </x:c>
    </x:row>
    <x:row r="73">
      <x:c r="A73" s="17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 t="str">
        <x:f>IF(B73="","",MIN(100,MAX(0,50+((B73-Setup!$B$4)/MAX(Setup!$B$4,1))*200)))</x:f>
      </x:c>
      <x:c r="N73" s="18" t="str">
        <x:f>IF(A73="","",(H73*Setup!$B$9)+(I73*Setup!$B$10)+(J73*Setup!$B$11)+(K73*Setup!$B$12))</x:f>
      </x:c>
      <x:c r="O73" s="18" t="str">
        <x:f>IF(A73="","",ROUND((0.4*M73)+(0.3*C73)+(0.3*D73)-N73,0))</x:f>
      </x:c>
      <x:c r="P73" s="18" t="str">
        <x:f>IF(A73="","",ROUND((F73*G73*Setup!$B$7)+(E73*Setup!$B$8),0))</x:f>
      </x:c>
      <x:c r="Q73" s="18" t="str">
        <x:f>IF(A73="","",ROUND(O73-(P73/2),0))</x:f>
      </x:c>
      <x:c r="R73" s="18" t="str">
        <x:f>IF(A73="","",IF(OR(O73&lt;Setup!$B$6,Q73&lt;0),"Recuperación activa / descanso",IF(O73&lt;Setup!$B$5,"Entrenamiento moderado","Entrena fuerte / alto rendimiento")))</x:f>
      </x:c>
      <x:c r="S73" s="18" t="str">
        <x:f>IF(A73="","",IF(OR(O73&lt;Setup!$B$6,Q73&lt;0),"Rojo",IF(O73&lt;Setup!$B$5,"Amarillo","Verde")))</x:f>
      </x:c>
    </x:row>
    <x:row r="74">
      <x:c r="A74" s="17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 t="str">
        <x:f>IF(B74="","",MIN(100,MAX(0,50+((B74-Setup!$B$4)/MAX(Setup!$B$4,1))*200)))</x:f>
      </x:c>
      <x:c r="N74" s="18" t="str">
        <x:f>IF(A74="","",(H74*Setup!$B$9)+(I74*Setup!$B$10)+(J74*Setup!$B$11)+(K74*Setup!$B$12))</x:f>
      </x:c>
      <x:c r="O74" s="18" t="str">
        <x:f>IF(A74="","",ROUND((0.4*M74)+(0.3*C74)+(0.3*D74)-N74,0))</x:f>
      </x:c>
      <x:c r="P74" s="18" t="str">
        <x:f>IF(A74="","",ROUND((F74*G74*Setup!$B$7)+(E74*Setup!$B$8),0))</x:f>
      </x:c>
      <x:c r="Q74" s="18" t="str">
        <x:f>IF(A74="","",ROUND(O74-(P74/2),0))</x:f>
      </x:c>
      <x:c r="R74" s="18" t="str">
        <x:f>IF(A74="","",IF(OR(O74&lt;Setup!$B$6,Q74&lt;0),"Recuperación activa / descanso",IF(O74&lt;Setup!$B$5,"Entrenamiento moderado","Entrena fuerte / alto rendimiento")))</x:f>
      </x:c>
      <x:c r="S74" s="18" t="str">
        <x:f>IF(A74="","",IF(OR(O74&lt;Setup!$B$6,Q74&lt;0),"Rojo",IF(O74&lt;Setup!$B$5,"Amarillo","Verde")))</x:f>
      </x:c>
    </x:row>
    <x:row r="75">
      <x:c r="A75" s="17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 t="str">
        <x:f>IF(B75="","",MIN(100,MAX(0,50+((B75-Setup!$B$4)/MAX(Setup!$B$4,1))*200)))</x:f>
      </x:c>
      <x:c r="N75" s="18" t="str">
        <x:f>IF(A75="","",(H75*Setup!$B$9)+(I75*Setup!$B$10)+(J75*Setup!$B$11)+(K75*Setup!$B$12))</x:f>
      </x:c>
      <x:c r="O75" s="18" t="str">
        <x:f>IF(A75="","",ROUND((0.4*M75)+(0.3*C75)+(0.3*D75)-N75,0))</x:f>
      </x:c>
      <x:c r="P75" s="18" t="str">
        <x:f>IF(A75="","",ROUND((F75*G75*Setup!$B$7)+(E75*Setup!$B$8),0))</x:f>
      </x:c>
      <x:c r="Q75" s="18" t="str">
        <x:f>IF(A75="","",ROUND(O75-(P75/2),0))</x:f>
      </x:c>
      <x:c r="R75" s="18" t="str">
        <x:f>IF(A75="","",IF(OR(O75&lt;Setup!$B$6,Q75&lt;0),"Recuperación activa / descanso",IF(O75&lt;Setup!$B$5,"Entrenamiento moderado","Entrena fuerte / alto rendimiento")))</x:f>
      </x:c>
      <x:c r="S75" s="18" t="str">
        <x:f>IF(A75="","",IF(OR(O75&lt;Setup!$B$6,Q75&lt;0),"Rojo",IF(O75&lt;Setup!$B$5,"Amarillo","Verde")))</x:f>
      </x:c>
    </x:row>
    <x:row r="76">
      <x:c r="A76" s="17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 t="str">
        <x:f>IF(B76="","",MIN(100,MAX(0,50+((B76-Setup!$B$4)/MAX(Setup!$B$4,1))*200)))</x:f>
      </x:c>
      <x:c r="N76" s="18" t="str">
        <x:f>IF(A76="","",(H76*Setup!$B$9)+(I76*Setup!$B$10)+(J76*Setup!$B$11)+(K76*Setup!$B$12))</x:f>
      </x:c>
      <x:c r="O76" s="18" t="str">
        <x:f>IF(A76="","",ROUND((0.4*M76)+(0.3*C76)+(0.3*D76)-N76,0))</x:f>
      </x:c>
      <x:c r="P76" s="18" t="str">
        <x:f>IF(A76="","",ROUND((F76*G76*Setup!$B$7)+(E76*Setup!$B$8),0))</x:f>
      </x:c>
      <x:c r="Q76" s="18" t="str">
        <x:f>IF(A76="","",ROUND(O76-(P76/2),0))</x:f>
      </x:c>
      <x:c r="R76" s="18" t="str">
        <x:f>IF(A76="","",IF(OR(O76&lt;Setup!$B$6,Q76&lt;0),"Recuperación activa / descanso",IF(O76&lt;Setup!$B$5,"Entrenamiento moderado","Entrena fuerte / alto rendimiento")))</x:f>
      </x:c>
      <x:c r="S76" s="18" t="str">
        <x:f>IF(A76="","",IF(OR(O76&lt;Setup!$B$6,Q76&lt;0),"Rojo",IF(O76&lt;Setup!$B$5,"Amarillo","Verde")))</x:f>
      </x:c>
    </x:row>
    <x:row r="77">
      <x:c r="A77" s="17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 t="str">
        <x:f>IF(B77="","",MIN(100,MAX(0,50+((B77-Setup!$B$4)/MAX(Setup!$B$4,1))*200)))</x:f>
      </x:c>
      <x:c r="N77" s="18" t="str">
        <x:f>IF(A77="","",(H77*Setup!$B$9)+(I77*Setup!$B$10)+(J77*Setup!$B$11)+(K77*Setup!$B$12))</x:f>
      </x:c>
      <x:c r="O77" s="18" t="str">
        <x:f>IF(A77="","",ROUND((0.4*M77)+(0.3*C77)+(0.3*D77)-N77,0))</x:f>
      </x:c>
      <x:c r="P77" s="18" t="str">
        <x:f>IF(A77="","",ROUND((F77*G77*Setup!$B$7)+(E77*Setup!$B$8),0))</x:f>
      </x:c>
      <x:c r="Q77" s="18" t="str">
        <x:f>IF(A77="","",ROUND(O77-(P77/2),0))</x:f>
      </x:c>
      <x:c r="R77" s="18" t="str">
        <x:f>IF(A77="","",IF(OR(O77&lt;Setup!$B$6,Q77&lt;0),"Recuperación activa / descanso",IF(O77&lt;Setup!$B$5,"Entrenamiento moderado","Entrena fuerte / alto rendimiento")))</x:f>
      </x:c>
      <x:c r="S77" s="18" t="str">
        <x:f>IF(A77="","",IF(OR(O77&lt;Setup!$B$6,Q77&lt;0),"Rojo",IF(O77&lt;Setup!$B$5,"Amarillo","Verde")))</x:f>
      </x:c>
    </x:row>
    <x:row r="78">
      <x:c r="A78" s="17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 t="str">
        <x:f>IF(B78="","",MIN(100,MAX(0,50+((B78-Setup!$B$4)/MAX(Setup!$B$4,1))*200)))</x:f>
      </x:c>
      <x:c r="N78" s="18" t="str">
        <x:f>IF(A78="","",(H78*Setup!$B$9)+(I78*Setup!$B$10)+(J78*Setup!$B$11)+(K78*Setup!$B$12))</x:f>
      </x:c>
      <x:c r="O78" s="18" t="str">
        <x:f>IF(A78="","",ROUND((0.4*M78)+(0.3*C78)+(0.3*D78)-N78,0))</x:f>
      </x:c>
      <x:c r="P78" s="18" t="str">
        <x:f>IF(A78="","",ROUND((F78*G78*Setup!$B$7)+(E78*Setup!$B$8),0))</x:f>
      </x:c>
      <x:c r="Q78" s="18" t="str">
        <x:f>IF(A78="","",ROUND(O78-(P78/2),0))</x:f>
      </x:c>
      <x:c r="R78" s="18" t="str">
        <x:f>IF(A78="","",IF(OR(O78&lt;Setup!$B$6,Q78&lt;0),"Recuperación activa / descanso",IF(O78&lt;Setup!$B$5,"Entrenamiento moderado","Entrena fuerte / alto rendimiento")))</x:f>
      </x:c>
      <x:c r="S78" s="18" t="str">
        <x:f>IF(A78="","",IF(OR(O78&lt;Setup!$B$6,Q78&lt;0),"Rojo",IF(O78&lt;Setup!$B$5,"Amarillo","Verde")))</x:f>
      </x:c>
    </x:row>
    <x:row r="79">
      <x:c r="A79" s="17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 t="str">
        <x:f>IF(B79="","",MIN(100,MAX(0,50+((B79-Setup!$B$4)/MAX(Setup!$B$4,1))*200)))</x:f>
      </x:c>
      <x:c r="N79" s="18" t="str">
        <x:f>IF(A79="","",(H79*Setup!$B$9)+(I79*Setup!$B$10)+(J79*Setup!$B$11)+(K79*Setup!$B$12))</x:f>
      </x:c>
      <x:c r="O79" s="18" t="str">
        <x:f>IF(A79="","",ROUND((0.4*M79)+(0.3*C79)+(0.3*D79)-N79,0))</x:f>
      </x:c>
      <x:c r="P79" s="18" t="str">
        <x:f>IF(A79="","",ROUND((F79*G79*Setup!$B$7)+(E79*Setup!$B$8),0))</x:f>
      </x:c>
      <x:c r="Q79" s="18" t="str">
        <x:f>IF(A79="","",ROUND(O79-(P79/2),0))</x:f>
      </x:c>
      <x:c r="R79" s="18" t="str">
        <x:f>IF(A79="","",IF(OR(O79&lt;Setup!$B$6,Q79&lt;0),"Recuperación activa / descanso",IF(O79&lt;Setup!$B$5,"Entrenamiento moderado","Entrena fuerte / alto rendimiento")))</x:f>
      </x:c>
      <x:c r="S79" s="18" t="str">
        <x:f>IF(A79="","",IF(OR(O79&lt;Setup!$B$6,Q79&lt;0),"Rojo",IF(O79&lt;Setup!$B$5,"Amarillo","Verde")))</x:f>
      </x:c>
    </x:row>
    <x:row r="80">
      <x:c r="A80" s="17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 t="str">
        <x:f>IF(B80="","",MIN(100,MAX(0,50+((B80-Setup!$B$4)/MAX(Setup!$B$4,1))*200)))</x:f>
      </x:c>
      <x:c r="N80" s="18" t="str">
        <x:f>IF(A80="","",(H80*Setup!$B$9)+(I80*Setup!$B$10)+(J80*Setup!$B$11)+(K80*Setup!$B$12))</x:f>
      </x:c>
      <x:c r="O80" s="18" t="str">
        <x:f>IF(A80="","",ROUND((0.4*M80)+(0.3*C80)+(0.3*D80)-N80,0))</x:f>
      </x:c>
      <x:c r="P80" s="18" t="str">
        <x:f>IF(A80="","",ROUND((F80*G80*Setup!$B$7)+(E80*Setup!$B$8),0))</x:f>
      </x:c>
      <x:c r="Q80" s="18" t="str">
        <x:f>IF(A80="","",ROUND(O80-(P80/2),0))</x:f>
      </x:c>
      <x:c r="R80" s="18" t="str">
        <x:f>IF(A80="","",IF(OR(O80&lt;Setup!$B$6,Q80&lt;0),"Recuperación activa / descanso",IF(O80&lt;Setup!$B$5,"Entrenamiento moderado","Entrena fuerte / alto rendimiento")))</x:f>
      </x:c>
      <x:c r="S80" s="18" t="str">
        <x:f>IF(A80="","",IF(OR(O80&lt;Setup!$B$6,Q80&lt;0),"Rojo",IF(O80&lt;Setup!$B$5,"Amarillo","Verde")))</x:f>
      </x:c>
    </x:row>
    <x:row r="81">
      <x:c r="A81" s="17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 t="str">
        <x:f>IF(B81="","",MIN(100,MAX(0,50+((B81-Setup!$B$4)/MAX(Setup!$B$4,1))*200)))</x:f>
      </x:c>
      <x:c r="N81" s="18" t="str">
        <x:f>IF(A81="","",(H81*Setup!$B$9)+(I81*Setup!$B$10)+(J81*Setup!$B$11)+(K81*Setup!$B$12))</x:f>
      </x:c>
      <x:c r="O81" s="18" t="str">
        <x:f>IF(A81="","",ROUND((0.4*M81)+(0.3*C81)+(0.3*D81)-N81,0))</x:f>
      </x:c>
      <x:c r="P81" s="18" t="str">
        <x:f>IF(A81="","",ROUND((F81*G81*Setup!$B$7)+(E81*Setup!$B$8),0))</x:f>
      </x:c>
      <x:c r="Q81" s="18" t="str">
        <x:f>IF(A81="","",ROUND(O81-(P81/2),0))</x:f>
      </x:c>
      <x:c r="R81" s="18" t="str">
        <x:f>IF(A81="","",IF(OR(O81&lt;Setup!$B$6,Q81&lt;0),"Recuperación activa / descanso",IF(O81&lt;Setup!$B$5,"Entrenamiento moderado","Entrena fuerte / alto rendimiento")))</x:f>
      </x:c>
      <x:c r="S81" s="18" t="str">
        <x:f>IF(A81="","",IF(OR(O81&lt;Setup!$B$6,Q81&lt;0),"Rojo",IF(O81&lt;Setup!$B$5,"Amarillo","Verde")))</x:f>
      </x:c>
    </x:row>
    <x:row r="82">
      <x:c r="A82" s="17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 t="str">
        <x:f>IF(B82="","",MIN(100,MAX(0,50+((B82-Setup!$B$4)/MAX(Setup!$B$4,1))*200)))</x:f>
      </x:c>
      <x:c r="N82" s="18" t="str">
        <x:f>IF(A82="","",(H82*Setup!$B$9)+(I82*Setup!$B$10)+(J82*Setup!$B$11)+(K82*Setup!$B$12))</x:f>
      </x:c>
      <x:c r="O82" s="18" t="str">
        <x:f>IF(A82="","",ROUND((0.4*M82)+(0.3*C82)+(0.3*D82)-N82,0))</x:f>
      </x:c>
      <x:c r="P82" s="18" t="str">
        <x:f>IF(A82="","",ROUND((F82*G82*Setup!$B$7)+(E82*Setup!$B$8),0))</x:f>
      </x:c>
      <x:c r="Q82" s="18" t="str">
        <x:f>IF(A82="","",ROUND(O82-(P82/2),0))</x:f>
      </x:c>
      <x:c r="R82" s="18" t="str">
        <x:f>IF(A82="","",IF(OR(O82&lt;Setup!$B$6,Q82&lt;0),"Recuperación activa / descanso",IF(O82&lt;Setup!$B$5,"Entrenamiento moderado","Entrena fuerte / alto rendimiento")))</x:f>
      </x:c>
      <x:c r="S82" s="18" t="str">
        <x:f>IF(A82="","",IF(OR(O82&lt;Setup!$B$6,Q82&lt;0),"Rojo",IF(O82&lt;Setup!$B$5,"Amarillo","Verde")))</x:f>
      </x:c>
    </x:row>
    <x:row r="83">
      <x:c r="A83" s="17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 t="str">
        <x:f>IF(B83="","",MIN(100,MAX(0,50+((B83-Setup!$B$4)/MAX(Setup!$B$4,1))*200)))</x:f>
      </x:c>
      <x:c r="N83" s="18" t="str">
        <x:f>IF(A83="","",(H83*Setup!$B$9)+(I83*Setup!$B$10)+(J83*Setup!$B$11)+(K83*Setup!$B$12))</x:f>
      </x:c>
      <x:c r="O83" s="18" t="str">
        <x:f>IF(A83="","",ROUND((0.4*M83)+(0.3*C83)+(0.3*D83)-N83,0))</x:f>
      </x:c>
      <x:c r="P83" s="18" t="str">
        <x:f>IF(A83="","",ROUND((F83*G83*Setup!$B$7)+(E83*Setup!$B$8),0))</x:f>
      </x:c>
      <x:c r="Q83" s="18" t="str">
        <x:f>IF(A83="","",ROUND(O83-(P83/2),0))</x:f>
      </x:c>
      <x:c r="R83" s="18" t="str">
        <x:f>IF(A83="","",IF(OR(O83&lt;Setup!$B$6,Q83&lt;0),"Recuperación activa / descanso",IF(O83&lt;Setup!$B$5,"Entrenamiento moderado","Entrena fuerte / alto rendimiento")))</x:f>
      </x:c>
      <x:c r="S83" s="18" t="str">
        <x:f>IF(A83="","",IF(OR(O83&lt;Setup!$B$6,Q83&lt;0),"Rojo",IF(O83&lt;Setup!$B$5,"Amarillo","Verde")))</x:f>
      </x:c>
    </x:row>
    <x:row r="84">
      <x:c r="A84" s="17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 t="str">
        <x:f>IF(B84="","",MIN(100,MAX(0,50+((B84-Setup!$B$4)/MAX(Setup!$B$4,1))*200)))</x:f>
      </x:c>
      <x:c r="N84" s="18" t="str">
        <x:f>IF(A84="","",(H84*Setup!$B$9)+(I84*Setup!$B$10)+(J84*Setup!$B$11)+(K84*Setup!$B$12))</x:f>
      </x:c>
      <x:c r="O84" s="18" t="str">
        <x:f>IF(A84="","",ROUND((0.4*M84)+(0.3*C84)+(0.3*D84)-N84,0))</x:f>
      </x:c>
      <x:c r="P84" s="18" t="str">
        <x:f>IF(A84="","",ROUND((F84*G84*Setup!$B$7)+(E84*Setup!$B$8),0))</x:f>
      </x:c>
      <x:c r="Q84" s="18" t="str">
        <x:f>IF(A84="","",ROUND(O84-(P84/2),0))</x:f>
      </x:c>
      <x:c r="R84" s="18" t="str">
        <x:f>IF(A84="","",IF(OR(O84&lt;Setup!$B$6,Q84&lt;0),"Recuperación activa / descanso",IF(O84&lt;Setup!$B$5,"Entrenamiento moderado","Entrena fuerte / alto rendimiento")))</x:f>
      </x:c>
      <x:c r="S84" s="18" t="str">
        <x:f>IF(A84="","",IF(OR(O84&lt;Setup!$B$6,Q84&lt;0),"Rojo",IF(O84&lt;Setup!$B$5,"Amarillo","Verde")))</x:f>
      </x:c>
    </x:row>
    <x:row r="85">
      <x:c r="A85" s="17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 t="str">
        <x:f>IF(B85="","",MIN(100,MAX(0,50+((B85-Setup!$B$4)/MAX(Setup!$B$4,1))*200)))</x:f>
      </x:c>
      <x:c r="N85" s="18" t="str">
        <x:f>IF(A85="","",(H85*Setup!$B$9)+(I85*Setup!$B$10)+(J85*Setup!$B$11)+(K85*Setup!$B$12))</x:f>
      </x:c>
      <x:c r="O85" s="18" t="str">
        <x:f>IF(A85="","",ROUND((0.4*M85)+(0.3*C85)+(0.3*D85)-N85,0))</x:f>
      </x:c>
      <x:c r="P85" s="18" t="str">
        <x:f>IF(A85="","",ROUND((F85*G85*Setup!$B$7)+(E85*Setup!$B$8),0))</x:f>
      </x:c>
      <x:c r="Q85" s="18" t="str">
        <x:f>IF(A85="","",ROUND(O85-(P85/2),0))</x:f>
      </x:c>
      <x:c r="R85" s="18" t="str">
        <x:f>IF(A85="","",IF(OR(O85&lt;Setup!$B$6,Q85&lt;0),"Recuperación activa / descanso",IF(O85&lt;Setup!$B$5,"Entrenamiento moderado","Entrena fuerte / alto rendimiento")))</x:f>
      </x:c>
      <x:c r="S85" s="18" t="str">
        <x:f>IF(A85="","",IF(OR(O85&lt;Setup!$B$6,Q85&lt;0),"Rojo",IF(O85&lt;Setup!$B$5,"Amarillo","Verde")))</x:f>
      </x:c>
    </x:row>
    <x:row r="86">
      <x:c r="A86" s="17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 t="str">
        <x:f>IF(B86="","",MIN(100,MAX(0,50+((B86-Setup!$B$4)/MAX(Setup!$B$4,1))*200)))</x:f>
      </x:c>
      <x:c r="N86" s="18" t="str">
        <x:f>IF(A86="","",(H86*Setup!$B$9)+(I86*Setup!$B$10)+(J86*Setup!$B$11)+(K86*Setup!$B$12))</x:f>
      </x:c>
      <x:c r="O86" s="18" t="str">
        <x:f>IF(A86="","",ROUND((0.4*M86)+(0.3*C86)+(0.3*D86)-N86,0))</x:f>
      </x:c>
      <x:c r="P86" s="18" t="str">
        <x:f>IF(A86="","",ROUND((F86*G86*Setup!$B$7)+(E86*Setup!$B$8),0))</x:f>
      </x:c>
      <x:c r="Q86" s="18" t="str">
        <x:f>IF(A86="","",ROUND(O86-(P86/2),0))</x:f>
      </x:c>
      <x:c r="R86" s="18" t="str">
        <x:f>IF(A86="","",IF(OR(O86&lt;Setup!$B$6,Q86&lt;0),"Recuperación activa / descanso",IF(O86&lt;Setup!$B$5,"Entrenamiento moderado","Entrena fuerte / alto rendimiento")))</x:f>
      </x:c>
      <x:c r="S86" s="18" t="str">
        <x:f>IF(A86="","",IF(OR(O86&lt;Setup!$B$6,Q86&lt;0),"Rojo",IF(O86&lt;Setup!$B$5,"Amarillo","Verde")))</x:f>
      </x:c>
    </x:row>
    <x:row r="87">
      <x:c r="A87" s="17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 t="str">
        <x:f>IF(B87="","",MIN(100,MAX(0,50+((B87-Setup!$B$4)/MAX(Setup!$B$4,1))*200)))</x:f>
      </x:c>
      <x:c r="N87" s="18" t="str">
        <x:f>IF(A87="","",(H87*Setup!$B$9)+(I87*Setup!$B$10)+(J87*Setup!$B$11)+(K87*Setup!$B$12))</x:f>
      </x:c>
      <x:c r="O87" s="18" t="str">
        <x:f>IF(A87="","",ROUND((0.4*M87)+(0.3*C87)+(0.3*D87)-N87,0))</x:f>
      </x:c>
      <x:c r="P87" s="18" t="str">
        <x:f>IF(A87="","",ROUND((F87*G87*Setup!$B$7)+(E87*Setup!$B$8),0))</x:f>
      </x:c>
      <x:c r="Q87" s="18" t="str">
        <x:f>IF(A87="","",ROUND(O87-(P87/2),0))</x:f>
      </x:c>
      <x:c r="R87" s="18" t="str">
        <x:f>IF(A87="","",IF(OR(O87&lt;Setup!$B$6,Q87&lt;0),"Recuperación activa / descanso",IF(O87&lt;Setup!$B$5,"Entrenamiento moderado","Entrena fuerte / alto rendimiento")))</x:f>
      </x:c>
      <x:c r="S87" s="18" t="str">
        <x:f>IF(A87="","",IF(OR(O87&lt;Setup!$B$6,Q87&lt;0),"Rojo",IF(O87&lt;Setup!$B$5,"Amarillo","Verde")))</x:f>
      </x:c>
    </x:row>
    <x:row r="88">
      <x:c r="A88" s="17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 t="str">
        <x:f>IF(B88="","",MIN(100,MAX(0,50+((B88-Setup!$B$4)/MAX(Setup!$B$4,1))*200)))</x:f>
      </x:c>
      <x:c r="N88" s="18" t="str">
        <x:f>IF(A88="","",(H88*Setup!$B$9)+(I88*Setup!$B$10)+(J88*Setup!$B$11)+(K88*Setup!$B$12))</x:f>
      </x:c>
      <x:c r="O88" s="18" t="str">
        <x:f>IF(A88="","",ROUND((0.4*M88)+(0.3*C88)+(0.3*D88)-N88,0))</x:f>
      </x:c>
      <x:c r="P88" s="18" t="str">
        <x:f>IF(A88="","",ROUND((F88*G88*Setup!$B$7)+(E88*Setup!$B$8),0))</x:f>
      </x:c>
      <x:c r="Q88" s="18" t="str">
        <x:f>IF(A88="","",ROUND(O88-(P88/2),0))</x:f>
      </x:c>
      <x:c r="R88" s="18" t="str">
        <x:f>IF(A88="","",IF(OR(O88&lt;Setup!$B$6,Q88&lt;0),"Recuperación activa / descanso",IF(O88&lt;Setup!$B$5,"Entrenamiento moderado","Entrena fuerte / alto rendimiento")))</x:f>
      </x:c>
      <x:c r="S88" s="18" t="str">
        <x:f>IF(A88="","",IF(OR(O88&lt;Setup!$B$6,Q88&lt;0),"Rojo",IF(O88&lt;Setup!$B$5,"Amarillo","Verde")))</x:f>
      </x:c>
    </x:row>
    <x:row r="89">
      <x:c r="A89" s="17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 t="str">
        <x:f>IF(B89="","",MIN(100,MAX(0,50+((B89-Setup!$B$4)/MAX(Setup!$B$4,1))*200)))</x:f>
      </x:c>
      <x:c r="N89" s="18" t="str">
        <x:f>IF(A89="","",(H89*Setup!$B$9)+(I89*Setup!$B$10)+(J89*Setup!$B$11)+(K89*Setup!$B$12))</x:f>
      </x:c>
      <x:c r="O89" s="18" t="str">
        <x:f>IF(A89="","",ROUND((0.4*M89)+(0.3*C89)+(0.3*D89)-N89,0))</x:f>
      </x:c>
      <x:c r="P89" s="18" t="str">
        <x:f>IF(A89="","",ROUND((F89*G89*Setup!$B$7)+(E89*Setup!$B$8),0))</x:f>
      </x:c>
      <x:c r="Q89" s="18" t="str">
        <x:f>IF(A89="","",ROUND(O89-(P89/2),0))</x:f>
      </x:c>
      <x:c r="R89" s="18" t="str">
        <x:f>IF(A89="","",IF(OR(O89&lt;Setup!$B$6,Q89&lt;0),"Recuperación activa / descanso",IF(O89&lt;Setup!$B$5,"Entrenamiento moderado","Entrena fuerte / alto rendimiento")))</x:f>
      </x:c>
      <x:c r="S89" s="18" t="str">
        <x:f>IF(A89="","",IF(OR(O89&lt;Setup!$B$6,Q89&lt;0),"Rojo",IF(O89&lt;Setup!$B$5,"Amarillo","Verde")))</x:f>
      </x:c>
    </x:row>
    <x:row r="90">
      <x:c r="A90" s="17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 t="str">
        <x:f>IF(B90="","",MIN(100,MAX(0,50+((B90-Setup!$B$4)/MAX(Setup!$B$4,1))*200)))</x:f>
      </x:c>
      <x:c r="N90" s="18" t="str">
        <x:f>IF(A90="","",(H90*Setup!$B$9)+(I90*Setup!$B$10)+(J90*Setup!$B$11)+(K90*Setup!$B$12))</x:f>
      </x:c>
      <x:c r="O90" s="18" t="str">
        <x:f>IF(A90="","",ROUND((0.4*M90)+(0.3*C90)+(0.3*D90)-N90,0))</x:f>
      </x:c>
      <x:c r="P90" s="18" t="str">
        <x:f>IF(A90="","",ROUND((F90*G90*Setup!$B$7)+(E90*Setup!$B$8),0))</x:f>
      </x:c>
      <x:c r="Q90" s="18" t="str">
        <x:f>IF(A90="","",ROUND(O90-(P90/2),0))</x:f>
      </x:c>
      <x:c r="R90" s="18" t="str">
        <x:f>IF(A90="","",IF(OR(O90&lt;Setup!$B$6,Q90&lt;0),"Recuperación activa / descanso",IF(O90&lt;Setup!$B$5,"Entrenamiento moderado","Entrena fuerte / alto rendimiento")))</x:f>
      </x:c>
      <x:c r="S90" s="18" t="str">
        <x:f>IF(A90="","",IF(OR(O90&lt;Setup!$B$6,Q90&lt;0),"Rojo",IF(O90&lt;Setup!$B$5,"Amarillo","Verde")))</x:f>
      </x:c>
    </x:row>
    <x:row r="91">
      <x:c r="A91" s="17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 t="str">
        <x:f>IF(B91="","",MIN(100,MAX(0,50+((B91-Setup!$B$4)/MAX(Setup!$B$4,1))*200)))</x:f>
      </x:c>
      <x:c r="N91" s="18" t="str">
        <x:f>IF(A91="","",(H91*Setup!$B$9)+(I91*Setup!$B$10)+(J91*Setup!$B$11)+(K91*Setup!$B$12))</x:f>
      </x:c>
      <x:c r="O91" s="18" t="str">
        <x:f>IF(A91="","",ROUND((0.4*M91)+(0.3*C91)+(0.3*D91)-N91,0))</x:f>
      </x:c>
      <x:c r="P91" s="18" t="str">
        <x:f>IF(A91="","",ROUND((F91*G91*Setup!$B$7)+(E91*Setup!$B$8),0))</x:f>
      </x:c>
      <x:c r="Q91" s="18" t="str">
        <x:f>IF(A91="","",ROUND(O91-(P91/2),0))</x:f>
      </x:c>
      <x:c r="R91" s="18" t="str">
        <x:f>IF(A91="","",IF(OR(O91&lt;Setup!$B$6,Q91&lt;0),"Recuperación activa / descanso",IF(O91&lt;Setup!$B$5,"Entrenamiento moderado","Entrena fuerte / alto rendimiento")))</x:f>
      </x:c>
      <x:c r="S91" s="18" t="str">
        <x:f>IF(A91="","",IF(OR(O91&lt;Setup!$B$6,Q91&lt;0),"Rojo",IF(O91&lt;Setup!$B$5,"Amarillo","Verde")))</x:f>
      </x:c>
    </x:row>
    <x:row r="92">
      <x:c r="A92" s="17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 t="str">
        <x:f>IF(B92="","",MIN(100,MAX(0,50+((B92-Setup!$B$4)/MAX(Setup!$B$4,1))*200)))</x:f>
      </x:c>
      <x:c r="N92" s="18" t="str">
        <x:f>IF(A92="","",(H92*Setup!$B$9)+(I92*Setup!$B$10)+(J92*Setup!$B$11)+(K92*Setup!$B$12))</x:f>
      </x:c>
      <x:c r="O92" s="18" t="str">
        <x:f>IF(A92="","",ROUND((0.4*M92)+(0.3*C92)+(0.3*D92)-N92,0))</x:f>
      </x:c>
      <x:c r="P92" s="18" t="str">
        <x:f>IF(A92="","",ROUND((F92*G92*Setup!$B$7)+(E92*Setup!$B$8),0))</x:f>
      </x:c>
      <x:c r="Q92" s="18" t="str">
        <x:f>IF(A92="","",ROUND(O92-(P92/2),0))</x:f>
      </x:c>
      <x:c r="R92" s="18" t="str">
        <x:f>IF(A92="","",IF(OR(O92&lt;Setup!$B$6,Q92&lt;0),"Recuperación activa / descanso",IF(O92&lt;Setup!$B$5,"Entrenamiento moderado","Entrena fuerte / alto rendimiento")))</x:f>
      </x:c>
      <x:c r="S92" s="18" t="str">
        <x:f>IF(A92="","",IF(OR(O92&lt;Setup!$B$6,Q92&lt;0),"Rojo",IF(O92&lt;Setup!$B$5,"Amarillo","Verde")))</x:f>
      </x:c>
    </x:row>
    <x:row r="93">
      <x:c r="A93" s="17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 t="str">
        <x:f>IF(B93="","",MIN(100,MAX(0,50+((B93-Setup!$B$4)/MAX(Setup!$B$4,1))*200)))</x:f>
      </x:c>
      <x:c r="N93" s="18" t="str">
        <x:f>IF(A93="","",(H93*Setup!$B$9)+(I93*Setup!$B$10)+(J93*Setup!$B$11)+(K93*Setup!$B$12))</x:f>
      </x:c>
      <x:c r="O93" s="18" t="str">
        <x:f>IF(A93="","",ROUND((0.4*M93)+(0.3*C93)+(0.3*D93)-N93,0))</x:f>
      </x:c>
      <x:c r="P93" s="18" t="str">
        <x:f>IF(A93="","",ROUND((F93*G93*Setup!$B$7)+(E93*Setup!$B$8),0))</x:f>
      </x:c>
      <x:c r="Q93" s="18" t="str">
        <x:f>IF(A93="","",ROUND(O93-(P93/2),0))</x:f>
      </x:c>
      <x:c r="R93" s="18" t="str">
        <x:f>IF(A93="","",IF(OR(O93&lt;Setup!$B$6,Q93&lt;0),"Recuperación activa / descanso",IF(O93&lt;Setup!$B$5,"Entrenamiento moderado","Entrena fuerte / alto rendimiento")))</x:f>
      </x:c>
      <x:c r="S93" s="18" t="str">
        <x:f>IF(A93="","",IF(OR(O93&lt;Setup!$B$6,Q93&lt;0),"Rojo",IF(O93&lt;Setup!$B$5,"Amarillo","Verde")))</x:f>
      </x:c>
    </x:row>
    <x:row r="94">
      <x:c r="A94" s="17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 t="str">
        <x:f>IF(B94="","",MIN(100,MAX(0,50+((B94-Setup!$B$4)/MAX(Setup!$B$4,1))*200)))</x:f>
      </x:c>
      <x:c r="N94" s="18" t="str">
        <x:f>IF(A94="","",(H94*Setup!$B$9)+(I94*Setup!$B$10)+(J94*Setup!$B$11)+(K94*Setup!$B$12))</x:f>
      </x:c>
      <x:c r="O94" s="18" t="str">
        <x:f>IF(A94="","",ROUND((0.4*M94)+(0.3*C94)+(0.3*D94)-N94,0))</x:f>
      </x:c>
      <x:c r="P94" s="18" t="str">
        <x:f>IF(A94="","",ROUND((F94*G94*Setup!$B$7)+(E94*Setup!$B$8),0))</x:f>
      </x:c>
      <x:c r="Q94" s="18" t="str">
        <x:f>IF(A94="","",ROUND(O94-(P94/2),0))</x:f>
      </x:c>
      <x:c r="R94" s="18" t="str">
        <x:f>IF(A94="","",IF(OR(O94&lt;Setup!$B$6,Q94&lt;0),"Recuperación activa / descanso",IF(O94&lt;Setup!$B$5,"Entrenamiento moderado","Entrena fuerte / alto rendimiento")))</x:f>
      </x:c>
      <x:c r="S94" s="18" t="str">
        <x:f>IF(A94="","",IF(OR(O94&lt;Setup!$B$6,Q94&lt;0),"Rojo",IF(O94&lt;Setup!$B$5,"Amarillo","Verde")))</x:f>
      </x:c>
    </x:row>
    <x:row r="95">
      <x:c r="A95" s="17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 t="str">
        <x:f>IF(B95="","",MIN(100,MAX(0,50+((B95-Setup!$B$4)/MAX(Setup!$B$4,1))*200)))</x:f>
      </x:c>
      <x:c r="N95" s="18" t="str">
        <x:f>IF(A95="","",(H95*Setup!$B$9)+(I95*Setup!$B$10)+(J95*Setup!$B$11)+(K95*Setup!$B$12))</x:f>
      </x:c>
      <x:c r="O95" s="18" t="str">
        <x:f>IF(A95="","",ROUND((0.4*M95)+(0.3*C95)+(0.3*D95)-N95,0))</x:f>
      </x:c>
      <x:c r="P95" s="18" t="str">
        <x:f>IF(A95="","",ROUND((F95*G95*Setup!$B$7)+(E95*Setup!$B$8),0))</x:f>
      </x:c>
      <x:c r="Q95" s="18" t="str">
        <x:f>IF(A95="","",ROUND(O95-(P95/2),0))</x:f>
      </x:c>
      <x:c r="R95" s="18" t="str">
        <x:f>IF(A95="","",IF(OR(O95&lt;Setup!$B$6,Q95&lt;0),"Recuperación activa / descanso",IF(O95&lt;Setup!$B$5,"Entrenamiento moderado","Entrena fuerte / alto rendimiento")))</x:f>
      </x:c>
      <x:c r="S95" s="18" t="str">
        <x:f>IF(A95="","",IF(OR(O95&lt;Setup!$B$6,Q95&lt;0),"Rojo",IF(O95&lt;Setup!$B$5,"Amarillo","Verde")))</x:f>
      </x:c>
    </x:row>
    <x:row r="96">
      <x:c r="A96" s="17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 t="str">
        <x:f>IF(B96="","",MIN(100,MAX(0,50+((B96-Setup!$B$4)/MAX(Setup!$B$4,1))*200)))</x:f>
      </x:c>
      <x:c r="N96" s="18" t="str">
        <x:f>IF(A96="","",(H96*Setup!$B$9)+(I96*Setup!$B$10)+(J96*Setup!$B$11)+(K96*Setup!$B$12))</x:f>
      </x:c>
      <x:c r="O96" s="18" t="str">
        <x:f>IF(A96="","",ROUND((0.4*M96)+(0.3*C96)+(0.3*D96)-N96,0))</x:f>
      </x:c>
      <x:c r="P96" s="18" t="str">
        <x:f>IF(A96="","",ROUND((F96*G96*Setup!$B$7)+(E96*Setup!$B$8),0))</x:f>
      </x:c>
      <x:c r="Q96" s="18" t="str">
        <x:f>IF(A96="","",ROUND(O96-(P96/2),0))</x:f>
      </x:c>
      <x:c r="R96" s="18" t="str">
        <x:f>IF(A96="","",IF(OR(O96&lt;Setup!$B$6,Q96&lt;0),"Recuperación activa / descanso",IF(O96&lt;Setup!$B$5,"Entrenamiento moderado","Entrena fuerte / alto rendimiento")))</x:f>
      </x:c>
      <x:c r="S96" s="18" t="str">
        <x:f>IF(A96="","",IF(OR(O96&lt;Setup!$B$6,Q96&lt;0),"Rojo",IF(O96&lt;Setup!$B$5,"Amarillo","Verde")))</x:f>
      </x:c>
    </x:row>
    <x:row r="97">
      <x:c r="A97" s="17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 t="str">
        <x:f>IF(B97="","",MIN(100,MAX(0,50+((B97-Setup!$B$4)/MAX(Setup!$B$4,1))*200)))</x:f>
      </x:c>
      <x:c r="N97" s="18" t="str">
        <x:f>IF(A97="","",(H97*Setup!$B$9)+(I97*Setup!$B$10)+(J97*Setup!$B$11)+(K97*Setup!$B$12))</x:f>
      </x:c>
      <x:c r="O97" s="18" t="str">
        <x:f>IF(A97="","",ROUND((0.4*M97)+(0.3*C97)+(0.3*D97)-N97,0))</x:f>
      </x:c>
      <x:c r="P97" s="18" t="str">
        <x:f>IF(A97="","",ROUND((F97*G97*Setup!$B$7)+(E97*Setup!$B$8),0))</x:f>
      </x:c>
      <x:c r="Q97" s="18" t="str">
        <x:f>IF(A97="","",ROUND(O97-(P97/2),0))</x:f>
      </x:c>
      <x:c r="R97" s="18" t="str">
        <x:f>IF(A97="","",IF(OR(O97&lt;Setup!$B$6,Q97&lt;0),"Recuperación activa / descanso",IF(O97&lt;Setup!$B$5,"Entrenamiento moderado","Entrena fuerte / alto rendimiento")))</x:f>
      </x:c>
      <x:c r="S97" s="18" t="str">
        <x:f>IF(A97="","",IF(OR(O97&lt;Setup!$B$6,Q97&lt;0),"Rojo",IF(O97&lt;Setup!$B$5,"Amarillo","Verde")))</x:f>
      </x:c>
    </x:row>
    <x:row r="98">
      <x:c r="A98" s="17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 t="str">
        <x:f>IF(B98="","",MIN(100,MAX(0,50+((B98-Setup!$B$4)/MAX(Setup!$B$4,1))*200)))</x:f>
      </x:c>
      <x:c r="N98" s="18" t="str">
        <x:f>IF(A98="","",(H98*Setup!$B$9)+(I98*Setup!$B$10)+(J98*Setup!$B$11)+(K98*Setup!$B$12))</x:f>
      </x:c>
      <x:c r="O98" s="18" t="str">
        <x:f>IF(A98="","",ROUND((0.4*M98)+(0.3*C98)+(0.3*D98)-N98,0))</x:f>
      </x:c>
      <x:c r="P98" s="18" t="str">
        <x:f>IF(A98="","",ROUND((F98*G98*Setup!$B$7)+(E98*Setup!$B$8),0))</x:f>
      </x:c>
      <x:c r="Q98" s="18" t="str">
        <x:f>IF(A98="","",ROUND(O98-(P98/2),0))</x:f>
      </x:c>
      <x:c r="R98" s="18" t="str">
        <x:f>IF(A98="","",IF(OR(O98&lt;Setup!$B$6,Q98&lt;0),"Recuperación activa / descanso",IF(O98&lt;Setup!$B$5,"Entrenamiento moderado","Entrena fuerte / alto rendimiento")))</x:f>
      </x:c>
      <x:c r="S98" s="18" t="str">
        <x:f>IF(A98="","",IF(OR(O98&lt;Setup!$B$6,Q98&lt;0),"Rojo",IF(O98&lt;Setup!$B$5,"Amarillo","Verde")))</x:f>
      </x:c>
    </x:row>
    <x:row r="99">
      <x:c r="A99" s="17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 t="str">
        <x:f>IF(B99="","",MIN(100,MAX(0,50+((B99-Setup!$B$4)/MAX(Setup!$B$4,1))*200)))</x:f>
      </x:c>
      <x:c r="N99" s="18" t="str">
        <x:f>IF(A99="","",(H99*Setup!$B$9)+(I99*Setup!$B$10)+(J99*Setup!$B$11)+(K99*Setup!$B$12))</x:f>
      </x:c>
      <x:c r="O99" s="18" t="str">
        <x:f>IF(A99="","",ROUND((0.4*M99)+(0.3*C99)+(0.3*D99)-N99,0))</x:f>
      </x:c>
      <x:c r="P99" s="18" t="str">
        <x:f>IF(A99="","",ROUND((F99*G99*Setup!$B$7)+(E99*Setup!$B$8),0))</x:f>
      </x:c>
      <x:c r="Q99" s="18" t="str">
        <x:f>IF(A99="","",ROUND(O99-(P99/2),0))</x:f>
      </x:c>
      <x:c r="R99" s="18" t="str">
        <x:f>IF(A99="","",IF(OR(O99&lt;Setup!$B$6,Q99&lt;0),"Recuperación activa / descanso",IF(O99&lt;Setup!$B$5,"Entrenamiento moderado","Entrena fuerte / alto rendimiento")))</x:f>
      </x:c>
      <x:c r="S99" s="18" t="str">
        <x:f>IF(A99="","",IF(OR(O99&lt;Setup!$B$6,Q99&lt;0),"Rojo",IF(O99&lt;Setup!$B$5,"Amarillo","Verde")))</x:f>
      </x:c>
    </x:row>
    <x:row r="100">
      <x:c r="A100" s="17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 t="str">
        <x:f>IF(B100="","",MIN(100,MAX(0,50+((B100-Setup!$B$4)/MAX(Setup!$B$4,1))*200)))</x:f>
      </x:c>
      <x:c r="N100" s="18" t="str">
        <x:f>IF(A100="","",(H100*Setup!$B$9)+(I100*Setup!$B$10)+(J100*Setup!$B$11)+(K100*Setup!$B$12))</x:f>
      </x:c>
      <x:c r="O100" s="18" t="str">
        <x:f>IF(A100="","",ROUND((0.4*M100)+(0.3*C100)+(0.3*D100)-N100,0))</x:f>
      </x:c>
      <x:c r="P100" s="18" t="str">
        <x:f>IF(A100="","",ROUND((F100*G100*Setup!$B$7)+(E100*Setup!$B$8),0))</x:f>
      </x:c>
      <x:c r="Q100" s="18" t="str">
        <x:f>IF(A100="","",ROUND(O100-(P100/2),0))</x:f>
      </x:c>
      <x:c r="R100" s="18" t="str">
        <x:f>IF(A100="","",IF(OR(O100&lt;Setup!$B$6,Q100&lt;0),"Recuperación activa / descanso",IF(O100&lt;Setup!$B$5,"Entrenamiento moderado","Entrena fuerte / alto rendimiento")))</x:f>
      </x:c>
      <x:c r="S100" s="18" t="str">
        <x:f>IF(A100="","",IF(OR(O100&lt;Setup!$B$6,Q100&lt;0),"Rojo",IF(O100&lt;Setup!$B$5,"Amarillo","Verde")))</x:f>
      </x:c>
    </x:row>
    <x:row r="101">
      <x:c r="A101" s="17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 t="str">
        <x:f>IF(B101="","",MIN(100,MAX(0,50+((B101-Setup!$B$4)/MAX(Setup!$B$4,1))*200)))</x:f>
      </x:c>
      <x:c r="N101" s="18" t="str">
        <x:f>IF(A101="","",(H101*Setup!$B$9)+(I101*Setup!$B$10)+(J101*Setup!$B$11)+(K101*Setup!$B$12))</x:f>
      </x:c>
      <x:c r="O101" s="18" t="str">
        <x:f>IF(A101="","",ROUND((0.4*M101)+(0.3*C101)+(0.3*D101)-N101,0))</x:f>
      </x:c>
      <x:c r="P101" s="18" t="str">
        <x:f>IF(A101="","",ROUND((F101*G101*Setup!$B$7)+(E101*Setup!$B$8),0))</x:f>
      </x:c>
      <x:c r="Q101" s="18" t="str">
        <x:f>IF(A101="","",ROUND(O101-(P101/2),0))</x:f>
      </x:c>
      <x:c r="R101" s="18" t="str">
        <x:f>IF(A101="","",IF(OR(O101&lt;Setup!$B$6,Q101&lt;0),"Recuperación activa / descanso",IF(O101&lt;Setup!$B$5,"Entrenamiento moderado","Entrena fuerte / alto rendimiento")))</x:f>
      </x:c>
      <x:c r="S101" s="18" t="str">
        <x:f>IF(A101="","",IF(OR(O101&lt;Setup!$B$6,Q101&lt;0),"Rojo",IF(O101&lt;Setup!$B$5,"Amarillo","Verde")))</x:f>
      </x:c>
    </x:row>
    <x:row r="102">
      <x:c r="A102" s="17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 t="str">
        <x:f>IF(B102="","",MIN(100,MAX(0,50+((B102-Setup!$B$4)/MAX(Setup!$B$4,1))*200)))</x:f>
      </x:c>
      <x:c r="N102" s="18" t="str">
        <x:f>IF(A102="","",(H102*Setup!$B$9)+(I102*Setup!$B$10)+(J102*Setup!$B$11)+(K102*Setup!$B$12))</x:f>
      </x:c>
      <x:c r="O102" s="18" t="str">
        <x:f>IF(A102="","",ROUND((0.4*M102)+(0.3*C102)+(0.3*D102)-N102,0))</x:f>
      </x:c>
      <x:c r="P102" s="18" t="str">
        <x:f>IF(A102="","",ROUND((F102*G102*Setup!$B$7)+(E102*Setup!$B$8),0))</x:f>
      </x:c>
      <x:c r="Q102" s="18" t="str">
        <x:f>IF(A102="","",ROUND(O102-(P102/2),0))</x:f>
      </x:c>
      <x:c r="R102" s="18" t="str">
        <x:f>IF(A102="","",IF(OR(O102&lt;Setup!$B$6,Q102&lt;0),"Recuperación activa / descanso",IF(O102&lt;Setup!$B$5,"Entrenamiento moderado","Entrena fuerte / alto rendimiento")))</x:f>
      </x:c>
      <x:c r="S102" s="18" t="str">
        <x:f>IF(A102="","",IF(OR(O102&lt;Setup!$B$6,Q102&lt;0),"Rojo",IF(O102&lt;Setup!$B$5,"Amarillo","Verde")))</x:f>
      </x:c>
    </x:row>
    <x:row r="103">
      <x:c r="A103" s="17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 t="str">
        <x:f>IF(B103="","",MIN(100,MAX(0,50+((B103-Setup!$B$4)/MAX(Setup!$B$4,1))*200)))</x:f>
      </x:c>
      <x:c r="N103" s="18" t="str">
        <x:f>IF(A103="","",(H103*Setup!$B$9)+(I103*Setup!$B$10)+(J103*Setup!$B$11)+(K103*Setup!$B$12))</x:f>
      </x:c>
      <x:c r="O103" s="18" t="str">
        <x:f>IF(A103="","",ROUND((0.4*M103)+(0.3*C103)+(0.3*D103)-N103,0))</x:f>
      </x:c>
      <x:c r="P103" s="18" t="str">
        <x:f>IF(A103="","",ROUND((F103*G103*Setup!$B$7)+(E103*Setup!$B$8),0))</x:f>
      </x:c>
      <x:c r="Q103" s="18" t="str">
        <x:f>IF(A103="","",ROUND(O103-(P103/2),0))</x:f>
      </x:c>
      <x:c r="R103" s="18" t="str">
        <x:f>IF(A103="","",IF(OR(O103&lt;Setup!$B$6,Q103&lt;0),"Recuperación activa / descanso",IF(O103&lt;Setup!$B$5,"Entrenamiento moderado","Entrena fuerte / alto rendimiento")))</x:f>
      </x:c>
      <x:c r="S103" s="18" t="str">
        <x:f>IF(A103="","",IF(OR(O103&lt;Setup!$B$6,Q103&lt;0),"Rojo",IF(O103&lt;Setup!$B$5,"Amarillo","Verde")))</x:f>
      </x:c>
    </x:row>
    <x:row r="104">
      <x:c r="A104" s="17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 t="str">
        <x:f>IF(B104="","",MIN(100,MAX(0,50+((B104-Setup!$B$4)/MAX(Setup!$B$4,1))*200)))</x:f>
      </x:c>
      <x:c r="N104" s="18" t="str">
        <x:f>IF(A104="","",(H104*Setup!$B$9)+(I104*Setup!$B$10)+(J104*Setup!$B$11)+(K104*Setup!$B$12))</x:f>
      </x:c>
      <x:c r="O104" s="18" t="str">
        <x:f>IF(A104="","",ROUND((0.4*M104)+(0.3*C104)+(0.3*D104)-N104,0))</x:f>
      </x:c>
      <x:c r="P104" s="18" t="str">
        <x:f>IF(A104="","",ROUND((F104*G104*Setup!$B$7)+(E104*Setup!$B$8),0))</x:f>
      </x:c>
      <x:c r="Q104" s="18" t="str">
        <x:f>IF(A104="","",ROUND(O104-(P104/2),0))</x:f>
      </x:c>
      <x:c r="R104" s="18" t="str">
        <x:f>IF(A104="","",IF(OR(O104&lt;Setup!$B$6,Q104&lt;0),"Recuperación activa / descanso",IF(O104&lt;Setup!$B$5,"Entrenamiento moderado","Entrena fuerte / alto rendimiento")))</x:f>
      </x:c>
      <x:c r="S104" s="18" t="str">
        <x:f>IF(A104="","",IF(OR(O104&lt;Setup!$B$6,Q104&lt;0),"Rojo",IF(O104&lt;Setup!$B$5,"Amarillo","Verde")))</x:f>
      </x:c>
    </x:row>
    <x:row r="105">
      <x:c r="A105" s="17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 t="str">
        <x:f>IF(B105="","",MIN(100,MAX(0,50+((B105-Setup!$B$4)/MAX(Setup!$B$4,1))*200)))</x:f>
      </x:c>
      <x:c r="N105" s="18" t="str">
        <x:f>IF(A105="","",(H105*Setup!$B$9)+(I105*Setup!$B$10)+(J105*Setup!$B$11)+(K105*Setup!$B$12))</x:f>
      </x:c>
      <x:c r="O105" s="18" t="str">
        <x:f>IF(A105="","",ROUND((0.4*M105)+(0.3*C105)+(0.3*D105)-N105,0))</x:f>
      </x:c>
      <x:c r="P105" s="18" t="str">
        <x:f>IF(A105="","",ROUND((F105*G105*Setup!$B$7)+(E105*Setup!$B$8),0))</x:f>
      </x:c>
      <x:c r="Q105" s="18" t="str">
        <x:f>IF(A105="","",ROUND(O105-(P105/2),0))</x:f>
      </x:c>
      <x:c r="R105" s="18" t="str">
        <x:f>IF(A105="","",IF(OR(O105&lt;Setup!$B$6,Q105&lt;0),"Recuperación activa / descanso",IF(O105&lt;Setup!$B$5,"Entrenamiento moderado","Entrena fuerte / alto rendimiento")))</x:f>
      </x:c>
      <x:c r="S105" s="18" t="str">
        <x:f>IF(A105="","",IF(OR(O105&lt;Setup!$B$6,Q105&lt;0),"Rojo",IF(O105&lt;Setup!$B$5,"Amarillo","Verde")))</x:f>
      </x:c>
    </x:row>
    <x:row r="106">
      <x:c r="A106" s="17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 t="str">
        <x:f>IF(B106="","",MIN(100,MAX(0,50+((B106-Setup!$B$4)/MAX(Setup!$B$4,1))*200)))</x:f>
      </x:c>
      <x:c r="N106" s="18" t="str">
        <x:f>IF(A106="","",(H106*Setup!$B$9)+(I106*Setup!$B$10)+(J106*Setup!$B$11)+(K106*Setup!$B$12))</x:f>
      </x:c>
      <x:c r="O106" s="18" t="str">
        <x:f>IF(A106="","",ROUND((0.4*M106)+(0.3*C106)+(0.3*D106)-N106,0))</x:f>
      </x:c>
      <x:c r="P106" s="18" t="str">
        <x:f>IF(A106="","",ROUND((F106*G106*Setup!$B$7)+(E106*Setup!$B$8),0))</x:f>
      </x:c>
      <x:c r="Q106" s="18" t="str">
        <x:f>IF(A106="","",ROUND(O106-(P106/2),0))</x:f>
      </x:c>
      <x:c r="R106" s="18" t="str">
        <x:f>IF(A106="","",IF(OR(O106&lt;Setup!$B$6,Q106&lt;0),"Recuperación activa / descanso",IF(O106&lt;Setup!$B$5,"Entrenamiento moderado","Entrena fuerte / alto rendimiento")))</x:f>
      </x:c>
      <x:c r="S106" s="18" t="str">
        <x:f>IF(A106="","",IF(OR(O106&lt;Setup!$B$6,Q106&lt;0),"Rojo",IF(O106&lt;Setup!$B$5,"Amarillo","Verde")))</x:f>
      </x:c>
    </x:row>
    <x:row r="107">
      <x:c r="A107" s="17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 t="str">
        <x:f>IF(B107="","",MIN(100,MAX(0,50+((B107-Setup!$B$4)/MAX(Setup!$B$4,1))*200)))</x:f>
      </x:c>
      <x:c r="N107" s="18" t="str">
        <x:f>IF(A107="","",(H107*Setup!$B$9)+(I107*Setup!$B$10)+(J107*Setup!$B$11)+(K107*Setup!$B$12))</x:f>
      </x:c>
      <x:c r="O107" s="18" t="str">
        <x:f>IF(A107="","",ROUND((0.4*M107)+(0.3*C107)+(0.3*D107)-N107,0))</x:f>
      </x:c>
      <x:c r="P107" s="18" t="str">
        <x:f>IF(A107="","",ROUND((F107*G107*Setup!$B$7)+(E107*Setup!$B$8),0))</x:f>
      </x:c>
      <x:c r="Q107" s="18" t="str">
        <x:f>IF(A107="","",ROUND(O107-(P107/2),0))</x:f>
      </x:c>
      <x:c r="R107" s="18" t="str">
        <x:f>IF(A107="","",IF(OR(O107&lt;Setup!$B$6,Q107&lt;0),"Recuperación activa / descanso",IF(O107&lt;Setup!$B$5,"Entrenamiento moderado","Entrena fuerte / alto rendimiento")))</x:f>
      </x:c>
      <x:c r="S107" s="18" t="str">
        <x:f>IF(A107="","",IF(OR(O107&lt;Setup!$B$6,Q107&lt;0),"Rojo",IF(O107&lt;Setup!$B$5,"Amarillo","Verde")))</x:f>
      </x:c>
    </x:row>
    <x:row r="108">
      <x:c r="A108" s="17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 t="str">
        <x:f>IF(B108="","",MIN(100,MAX(0,50+((B108-Setup!$B$4)/MAX(Setup!$B$4,1))*200)))</x:f>
      </x:c>
      <x:c r="N108" s="18" t="str">
        <x:f>IF(A108="","",(H108*Setup!$B$9)+(I108*Setup!$B$10)+(J108*Setup!$B$11)+(K108*Setup!$B$12))</x:f>
      </x:c>
      <x:c r="O108" s="18" t="str">
        <x:f>IF(A108="","",ROUND((0.4*M108)+(0.3*C108)+(0.3*D108)-N108,0))</x:f>
      </x:c>
      <x:c r="P108" s="18" t="str">
        <x:f>IF(A108="","",ROUND((F108*G108*Setup!$B$7)+(E108*Setup!$B$8),0))</x:f>
      </x:c>
      <x:c r="Q108" s="18" t="str">
        <x:f>IF(A108="","",ROUND(O108-(P108/2),0))</x:f>
      </x:c>
      <x:c r="R108" s="18" t="str">
        <x:f>IF(A108="","",IF(OR(O108&lt;Setup!$B$6,Q108&lt;0),"Recuperación activa / descanso",IF(O108&lt;Setup!$B$5,"Entrenamiento moderado","Entrena fuerte / alto rendimiento")))</x:f>
      </x:c>
      <x:c r="S108" s="18" t="str">
        <x:f>IF(A108="","",IF(OR(O108&lt;Setup!$B$6,Q108&lt;0),"Rojo",IF(O108&lt;Setup!$B$5,"Amarillo","Verde")))</x:f>
      </x:c>
    </x:row>
    <x:row r="109">
      <x:c r="A109" s="17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 t="str">
        <x:f>IF(B109="","",MIN(100,MAX(0,50+((B109-Setup!$B$4)/MAX(Setup!$B$4,1))*200)))</x:f>
      </x:c>
      <x:c r="N109" s="18" t="str">
        <x:f>IF(A109="","",(H109*Setup!$B$9)+(I109*Setup!$B$10)+(J109*Setup!$B$11)+(K109*Setup!$B$12))</x:f>
      </x:c>
      <x:c r="O109" s="18" t="str">
        <x:f>IF(A109="","",ROUND((0.4*M109)+(0.3*C109)+(0.3*D109)-N109,0))</x:f>
      </x:c>
      <x:c r="P109" s="18" t="str">
        <x:f>IF(A109="","",ROUND((F109*G109*Setup!$B$7)+(E109*Setup!$B$8),0))</x:f>
      </x:c>
      <x:c r="Q109" s="18" t="str">
        <x:f>IF(A109="","",ROUND(O109-(P109/2),0))</x:f>
      </x:c>
      <x:c r="R109" s="18" t="str">
        <x:f>IF(A109="","",IF(OR(O109&lt;Setup!$B$6,Q109&lt;0),"Recuperación activa / descanso",IF(O109&lt;Setup!$B$5,"Entrenamiento moderado","Entrena fuerte / alto rendimiento")))</x:f>
      </x:c>
      <x:c r="S109" s="18" t="str">
        <x:f>IF(A109="","",IF(OR(O109&lt;Setup!$B$6,Q109&lt;0),"Rojo",IF(O109&lt;Setup!$B$5,"Amarillo","Verde")))</x:f>
      </x:c>
    </x:row>
    <x:row r="110">
      <x:c r="A110" s="17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 t="str">
        <x:f>IF(B110="","",MIN(100,MAX(0,50+((B110-Setup!$B$4)/MAX(Setup!$B$4,1))*200)))</x:f>
      </x:c>
      <x:c r="N110" s="18" t="str">
        <x:f>IF(A110="","",(H110*Setup!$B$9)+(I110*Setup!$B$10)+(J110*Setup!$B$11)+(K110*Setup!$B$12))</x:f>
      </x:c>
      <x:c r="O110" s="18" t="str">
        <x:f>IF(A110="","",ROUND((0.4*M110)+(0.3*C110)+(0.3*D110)-N110,0))</x:f>
      </x:c>
      <x:c r="P110" s="18" t="str">
        <x:f>IF(A110="","",ROUND((F110*G110*Setup!$B$7)+(E110*Setup!$B$8),0))</x:f>
      </x:c>
      <x:c r="Q110" s="18" t="str">
        <x:f>IF(A110="","",ROUND(O110-(P110/2),0))</x:f>
      </x:c>
      <x:c r="R110" s="18" t="str">
        <x:f>IF(A110="","",IF(OR(O110&lt;Setup!$B$6,Q110&lt;0),"Recuperación activa / descanso",IF(O110&lt;Setup!$B$5,"Entrenamiento moderado","Entrena fuerte / alto rendimiento")))</x:f>
      </x:c>
      <x:c r="S110" s="18" t="str">
        <x:f>IF(A110="","",IF(OR(O110&lt;Setup!$B$6,Q110&lt;0),"Rojo",IF(O110&lt;Setup!$B$5,"Amarillo","Verde")))</x:f>
      </x:c>
    </x:row>
    <x:row r="111">
      <x:c r="A111" s="17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 t="str">
        <x:f>IF(B111="","",MIN(100,MAX(0,50+((B111-Setup!$B$4)/MAX(Setup!$B$4,1))*200)))</x:f>
      </x:c>
      <x:c r="N111" s="18" t="str">
        <x:f>IF(A111="","",(H111*Setup!$B$9)+(I111*Setup!$B$10)+(J111*Setup!$B$11)+(K111*Setup!$B$12))</x:f>
      </x:c>
      <x:c r="O111" s="18" t="str">
        <x:f>IF(A111="","",ROUND((0.4*M111)+(0.3*C111)+(0.3*D111)-N111,0))</x:f>
      </x:c>
      <x:c r="P111" s="18" t="str">
        <x:f>IF(A111="","",ROUND((F111*G111*Setup!$B$7)+(E111*Setup!$B$8),0))</x:f>
      </x:c>
      <x:c r="Q111" s="18" t="str">
        <x:f>IF(A111="","",ROUND(O111-(P111/2),0))</x:f>
      </x:c>
      <x:c r="R111" s="18" t="str">
        <x:f>IF(A111="","",IF(OR(O111&lt;Setup!$B$6,Q111&lt;0),"Recuperación activa / descanso",IF(O111&lt;Setup!$B$5,"Entrenamiento moderado","Entrena fuerte / alto rendimiento")))</x:f>
      </x:c>
      <x:c r="S111" s="18" t="str">
        <x:f>IF(A111="","",IF(OR(O111&lt;Setup!$B$6,Q111&lt;0),"Rojo",IF(O111&lt;Setup!$B$5,"Amarillo","Verde")))</x:f>
      </x:c>
    </x:row>
    <x:row r="112">
      <x:c r="A112" s="17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 t="str">
        <x:f>IF(B112="","",MIN(100,MAX(0,50+((B112-Setup!$B$4)/MAX(Setup!$B$4,1))*200)))</x:f>
      </x:c>
      <x:c r="N112" s="18" t="str">
        <x:f>IF(A112="","",(H112*Setup!$B$9)+(I112*Setup!$B$10)+(J112*Setup!$B$11)+(K112*Setup!$B$12))</x:f>
      </x:c>
      <x:c r="O112" s="18" t="str">
        <x:f>IF(A112="","",ROUND((0.4*M112)+(0.3*C112)+(0.3*D112)-N112,0))</x:f>
      </x:c>
      <x:c r="P112" s="18" t="str">
        <x:f>IF(A112="","",ROUND((F112*G112*Setup!$B$7)+(E112*Setup!$B$8),0))</x:f>
      </x:c>
      <x:c r="Q112" s="18" t="str">
        <x:f>IF(A112="","",ROUND(O112-(P112/2),0))</x:f>
      </x:c>
      <x:c r="R112" s="18" t="str">
        <x:f>IF(A112="","",IF(OR(O112&lt;Setup!$B$6,Q112&lt;0),"Recuperación activa / descanso",IF(O112&lt;Setup!$B$5,"Entrenamiento moderado","Entrena fuerte / alto rendimiento")))</x:f>
      </x:c>
      <x:c r="S112" s="18" t="str">
        <x:f>IF(A112="","",IF(OR(O112&lt;Setup!$B$6,Q112&lt;0),"Rojo",IF(O112&lt;Setup!$B$5,"Amarillo","Verde")))</x:f>
      </x:c>
    </x:row>
    <x:row r="113">
      <x:c r="A113" s="17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 t="str">
        <x:f>IF(B113="","",MIN(100,MAX(0,50+((B113-Setup!$B$4)/MAX(Setup!$B$4,1))*200)))</x:f>
      </x:c>
      <x:c r="N113" s="18" t="str">
        <x:f>IF(A113="","",(H113*Setup!$B$9)+(I113*Setup!$B$10)+(J113*Setup!$B$11)+(K113*Setup!$B$12))</x:f>
      </x:c>
      <x:c r="O113" s="18" t="str">
        <x:f>IF(A113="","",ROUND((0.4*M113)+(0.3*C113)+(0.3*D113)-N113,0))</x:f>
      </x:c>
      <x:c r="P113" s="18" t="str">
        <x:f>IF(A113="","",ROUND((F113*G113*Setup!$B$7)+(E113*Setup!$B$8),0))</x:f>
      </x:c>
      <x:c r="Q113" s="18" t="str">
        <x:f>IF(A113="","",ROUND(O113-(P113/2),0))</x:f>
      </x:c>
      <x:c r="R113" s="18" t="str">
        <x:f>IF(A113="","",IF(OR(O113&lt;Setup!$B$6,Q113&lt;0),"Recuperación activa / descanso",IF(O113&lt;Setup!$B$5,"Entrenamiento moderado","Entrena fuerte / alto rendimiento")))</x:f>
      </x:c>
      <x:c r="S113" s="18" t="str">
        <x:f>IF(A113="","",IF(OR(O113&lt;Setup!$B$6,Q113&lt;0),"Rojo",IF(O113&lt;Setup!$B$5,"Amarillo","Verde")))</x:f>
      </x:c>
    </x:row>
    <x:row r="114">
      <x:c r="A114" s="17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 t="str">
        <x:f>IF(B114="","",MIN(100,MAX(0,50+((B114-Setup!$B$4)/MAX(Setup!$B$4,1))*200)))</x:f>
      </x:c>
      <x:c r="N114" s="18" t="str">
        <x:f>IF(A114="","",(H114*Setup!$B$9)+(I114*Setup!$B$10)+(J114*Setup!$B$11)+(K114*Setup!$B$12))</x:f>
      </x:c>
      <x:c r="O114" s="18" t="str">
        <x:f>IF(A114="","",ROUND((0.4*M114)+(0.3*C114)+(0.3*D114)-N114,0))</x:f>
      </x:c>
      <x:c r="P114" s="18" t="str">
        <x:f>IF(A114="","",ROUND((F114*G114*Setup!$B$7)+(E114*Setup!$B$8),0))</x:f>
      </x:c>
      <x:c r="Q114" s="18" t="str">
        <x:f>IF(A114="","",ROUND(O114-(P114/2),0))</x:f>
      </x:c>
      <x:c r="R114" s="18" t="str">
        <x:f>IF(A114="","",IF(OR(O114&lt;Setup!$B$6,Q114&lt;0),"Recuperación activa / descanso",IF(O114&lt;Setup!$B$5,"Entrenamiento moderado","Entrena fuerte / alto rendimiento")))</x:f>
      </x:c>
      <x:c r="S114" s="18" t="str">
        <x:f>IF(A114="","",IF(OR(O114&lt;Setup!$B$6,Q114&lt;0),"Rojo",IF(O114&lt;Setup!$B$5,"Amarillo","Verde")))</x:f>
      </x:c>
    </x:row>
    <x:row r="115">
      <x:c r="A115" s="17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 t="str">
        <x:f>IF(B115="","",MIN(100,MAX(0,50+((B115-Setup!$B$4)/MAX(Setup!$B$4,1))*200)))</x:f>
      </x:c>
      <x:c r="N115" s="18" t="str">
        <x:f>IF(A115="","",(H115*Setup!$B$9)+(I115*Setup!$B$10)+(J115*Setup!$B$11)+(K115*Setup!$B$12))</x:f>
      </x:c>
      <x:c r="O115" s="18" t="str">
        <x:f>IF(A115="","",ROUND((0.4*M115)+(0.3*C115)+(0.3*D115)-N115,0))</x:f>
      </x:c>
      <x:c r="P115" s="18" t="str">
        <x:f>IF(A115="","",ROUND((F115*G115*Setup!$B$7)+(E115*Setup!$B$8),0))</x:f>
      </x:c>
      <x:c r="Q115" s="18" t="str">
        <x:f>IF(A115="","",ROUND(O115-(P115/2),0))</x:f>
      </x:c>
      <x:c r="R115" s="18" t="str">
        <x:f>IF(A115="","",IF(OR(O115&lt;Setup!$B$6,Q115&lt;0),"Recuperación activa / descanso",IF(O115&lt;Setup!$B$5,"Entrenamiento moderado","Entrena fuerte / alto rendimiento")))</x:f>
      </x:c>
      <x:c r="S115" s="18" t="str">
        <x:f>IF(A115="","",IF(OR(O115&lt;Setup!$B$6,Q115&lt;0),"Rojo",IF(O115&lt;Setup!$B$5,"Amarillo","Verde")))</x:f>
      </x:c>
    </x:row>
    <x:row r="116">
      <x:c r="A116" s="17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 t="str">
        <x:f>IF(B116="","",MIN(100,MAX(0,50+((B116-Setup!$B$4)/MAX(Setup!$B$4,1))*200)))</x:f>
      </x:c>
      <x:c r="N116" s="18" t="str">
        <x:f>IF(A116="","",(H116*Setup!$B$9)+(I116*Setup!$B$10)+(J116*Setup!$B$11)+(K116*Setup!$B$12))</x:f>
      </x:c>
      <x:c r="O116" s="18" t="str">
        <x:f>IF(A116="","",ROUND((0.4*M116)+(0.3*C116)+(0.3*D116)-N116,0))</x:f>
      </x:c>
      <x:c r="P116" s="18" t="str">
        <x:f>IF(A116="","",ROUND((F116*G116*Setup!$B$7)+(E116*Setup!$B$8),0))</x:f>
      </x:c>
      <x:c r="Q116" s="18" t="str">
        <x:f>IF(A116="","",ROUND(O116-(P116/2),0))</x:f>
      </x:c>
      <x:c r="R116" s="18" t="str">
        <x:f>IF(A116="","",IF(OR(O116&lt;Setup!$B$6,Q116&lt;0),"Recuperación activa / descanso",IF(O116&lt;Setup!$B$5,"Entrenamiento moderado","Entrena fuerte / alto rendimiento")))</x:f>
      </x:c>
      <x:c r="S116" s="18" t="str">
        <x:f>IF(A116="","",IF(OR(O116&lt;Setup!$B$6,Q116&lt;0),"Rojo",IF(O116&lt;Setup!$B$5,"Amarillo","Verde")))</x:f>
      </x:c>
    </x:row>
    <x:row r="117">
      <x:c r="A117" s="17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 t="str">
        <x:f>IF(B117="","",MIN(100,MAX(0,50+((B117-Setup!$B$4)/MAX(Setup!$B$4,1))*200)))</x:f>
      </x:c>
      <x:c r="N117" s="18" t="str">
        <x:f>IF(A117="","",(H117*Setup!$B$9)+(I117*Setup!$B$10)+(J117*Setup!$B$11)+(K117*Setup!$B$12))</x:f>
      </x:c>
      <x:c r="O117" s="18" t="str">
        <x:f>IF(A117="","",ROUND((0.4*M117)+(0.3*C117)+(0.3*D117)-N117,0))</x:f>
      </x:c>
      <x:c r="P117" s="18" t="str">
        <x:f>IF(A117="","",ROUND((F117*G117*Setup!$B$7)+(E117*Setup!$B$8),0))</x:f>
      </x:c>
      <x:c r="Q117" s="18" t="str">
        <x:f>IF(A117="","",ROUND(O117-(P117/2),0))</x:f>
      </x:c>
      <x:c r="R117" s="18" t="str">
        <x:f>IF(A117="","",IF(OR(O117&lt;Setup!$B$6,Q117&lt;0),"Recuperación activa / descanso",IF(O117&lt;Setup!$B$5,"Entrenamiento moderado","Entrena fuerte / alto rendimiento")))</x:f>
      </x:c>
      <x:c r="S117" s="18" t="str">
        <x:f>IF(A117="","",IF(OR(O117&lt;Setup!$B$6,Q117&lt;0),"Rojo",IF(O117&lt;Setup!$B$5,"Amarillo","Verde")))</x:f>
      </x:c>
    </x:row>
    <x:row r="118">
      <x:c r="A118" s="17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 t="str">
        <x:f>IF(B118="","",MIN(100,MAX(0,50+((B118-Setup!$B$4)/MAX(Setup!$B$4,1))*200)))</x:f>
      </x:c>
      <x:c r="N118" s="18" t="str">
        <x:f>IF(A118="","",(H118*Setup!$B$9)+(I118*Setup!$B$10)+(J118*Setup!$B$11)+(K118*Setup!$B$12))</x:f>
      </x:c>
      <x:c r="O118" s="18" t="str">
        <x:f>IF(A118="","",ROUND((0.4*M118)+(0.3*C118)+(0.3*D118)-N118,0))</x:f>
      </x:c>
      <x:c r="P118" s="18" t="str">
        <x:f>IF(A118="","",ROUND((F118*G118*Setup!$B$7)+(E118*Setup!$B$8),0))</x:f>
      </x:c>
      <x:c r="Q118" s="18" t="str">
        <x:f>IF(A118="","",ROUND(O118-(P118/2),0))</x:f>
      </x:c>
      <x:c r="R118" s="18" t="str">
        <x:f>IF(A118="","",IF(OR(O118&lt;Setup!$B$6,Q118&lt;0),"Recuperación activa / descanso",IF(O118&lt;Setup!$B$5,"Entrenamiento moderado","Entrena fuerte / alto rendimiento")))</x:f>
      </x:c>
      <x:c r="S118" s="18" t="str">
        <x:f>IF(A118="","",IF(OR(O118&lt;Setup!$B$6,Q118&lt;0),"Rojo",IF(O118&lt;Setup!$B$5,"Amarillo","Verde")))</x:f>
      </x:c>
    </x:row>
    <x:row r="119">
      <x:c r="A119" s="17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 t="str">
        <x:f>IF(B119="","",MIN(100,MAX(0,50+((B119-Setup!$B$4)/MAX(Setup!$B$4,1))*200)))</x:f>
      </x:c>
      <x:c r="N119" s="18" t="str">
        <x:f>IF(A119="","",(H119*Setup!$B$9)+(I119*Setup!$B$10)+(J119*Setup!$B$11)+(K119*Setup!$B$12))</x:f>
      </x:c>
      <x:c r="O119" s="18" t="str">
        <x:f>IF(A119="","",ROUND((0.4*M119)+(0.3*C119)+(0.3*D119)-N119,0))</x:f>
      </x:c>
      <x:c r="P119" s="18" t="str">
        <x:f>IF(A119="","",ROUND((F119*G119*Setup!$B$7)+(E119*Setup!$B$8),0))</x:f>
      </x:c>
      <x:c r="Q119" s="18" t="str">
        <x:f>IF(A119="","",ROUND(O119-(P119/2),0))</x:f>
      </x:c>
      <x:c r="R119" s="18" t="str">
        <x:f>IF(A119="","",IF(OR(O119&lt;Setup!$B$6,Q119&lt;0),"Recuperación activa / descanso",IF(O119&lt;Setup!$B$5,"Entrenamiento moderado","Entrena fuerte / alto rendimiento")))</x:f>
      </x:c>
      <x:c r="S119" s="18" t="str">
        <x:f>IF(A119="","",IF(OR(O119&lt;Setup!$B$6,Q119&lt;0),"Rojo",IF(O119&lt;Setup!$B$5,"Amarillo","Verde")))</x:f>
      </x:c>
    </x:row>
    <x:row r="120">
      <x:c r="A120" s="17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 t="str">
        <x:f>IF(B120="","",MIN(100,MAX(0,50+((B120-Setup!$B$4)/MAX(Setup!$B$4,1))*200)))</x:f>
      </x:c>
      <x:c r="N120" s="18" t="str">
        <x:f>IF(A120="","",(H120*Setup!$B$9)+(I120*Setup!$B$10)+(J120*Setup!$B$11)+(K120*Setup!$B$12))</x:f>
      </x:c>
      <x:c r="O120" s="18" t="str">
        <x:f>IF(A120="","",ROUND((0.4*M120)+(0.3*C120)+(0.3*D120)-N120,0))</x:f>
      </x:c>
      <x:c r="P120" s="18" t="str">
        <x:f>IF(A120="","",ROUND((F120*G120*Setup!$B$7)+(E120*Setup!$B$8),0))</x:f>
      </x:c>
      <x:c r="Q120" s="18" t="str">
        <x:f>IF(A120="","",ROUND(O120-(P120/2),0))</x:f>
      </x:c>
      <x:c r="R120" s="18" t="str">
        <x:f>IF(A120="","",IF(OR(O120&lt;Setup!$B$6,Q120&lt;0),"Recuperación activa / descanso",IF(O120&lt;Setup!$B$5,"Entrenamiento moderado","Entrena fuerte / alto rendimiento")))</x:f>
      </x:c>
      <x:c r="S120" s="18" t="str">
        <x:f>IF(A120="","",IF(OR(O120&lt;Setup!$B$6,Q120&lt;0),"Rojo",IF(O120&lt;Setup!$B$5,"Amarillo","Verde")))</x:f>
      </x:c>
    </x:row>
    <x:row r="121">
      <x:c r="A121" s="17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 t="str">
        <x:f>IF(B121="","",MIN(100,MAX(0,50+((B121-Setup!$B$4)/MAX(Setup!$B$4,1))*200)))</x:f>
      </x:c>
      <x:c r="N121" s="18" t="str">
        <x:f>IF(A121="","",(H121*Setup!$B$9)+(I121*Setup!$B$10)+(J121*Setup!$B$11)+(K121*Setup!$B$12))</x:f>
      </x:c>
      <x:c r="O121" s="18" t="str">
        <x:f>IF(A121="","",ROUND((0.4*M121)+(0.3*C121)+(0.3*D121)-N121,0))</x:f>
      </x:c>
      <x:c r="P121" s="18" t="str">
        <x:f>IF(A121="","",ROUND((F121*G121*Setup!$B$7)+(E121*Setup!$B$8),0))</x:f>
      </x:c>
      <x:c r="Q121" s="18" t="str">
        <x:f>IF(A121="","",ROUND(O121-(P121/2),0))</x:f>
      </x:c>
      <x:c r="R121" s="18" t="str">
        <x:f>IF(A121="","",IF(OR(O121&lt;Setup!$B$6,Q121&lt;0),"Recuperación activa / descanso",IF(O121&lt;Setup!$B$5,"Entrenamiento moderado","Entrena fuerte / alto rendimiento")))</x:f>
      </x:c>
      <x:c r="S121" s="18" t="str">
        <x:f>IF(A121="","",IF(OR(O121&lt;Setup!$B$6,Q121&lt;0),"Rojo",IF(O121&lt;Setup!$B$5,"Amarillo","Verde")))</x:f>
      </x:c>
    </x:row>
    <x:row r="122">
      <x:c r="A122" s="17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 t="str">
        <x:f>IF(B122="","",MIN(100,MAX(0,50+((B122-Setup!$B$4)/MAX(Setup!$B$4,1))*200)))</x:f>
      </x:c>
      <x:c r="N122" s="18" t="str">
        <x:f>IF(A122="","",(H122*Setup!$B$9)+(I122*Setup!$B$10)+(J122*Setup!$B$11)+(K122*Setup!$B$12))</x:f>
      </x:c>
      <x:c r="O122" s="18" t="str">
        <x:f>IF(A122="","",ROUND((0.4*M122)+(0.3*C122)+(0.3*D122)-N122,0))</x:f>
      </x:c>
      <x:c r="P122" s="18" t="str">
        <x:f>IF(A122="","",ROUND((F122*G122*Setup!$B$7)+(E122*Setup!$B$8),0))</x:f>
      </x:c>
      <x:c r="Q122" s="18" t="str">
        <x:f>IF(A122="","",ROUND(O122-(P122/2),0))</x:f>
      </x:c>
      <x:c r="R122" s="18" t="str">
        <x:f>IF(A122="","",IF(OR(O122&lt;Setup!$B$6,Q122&lt;0),"Recuperación activa / descanso",IF(O122&lt;Setup!$B$5,"Entrenamiento moderado","Entrena fuerte / alto rendimiento")))</x:f>
      </x:c>
      <x:c r="S122" s="18" t="str">
        <x:f>IF(A122="","",IF(OR(O122&lt;Setup!$B$6,Q122&lt;0),"Rojo",IF(O122&lt;Setup!$B$5,"Amarillo","Verde")))</x:f>
      </x:c>
    </x:row>
    <x:row r="123">
      <x:c r="A123" s="17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 t="str">
        <x:f>IF(B123="","",MIN(100,MAX(0,50+((B123-Setup!$B$4)/MAX(Setup!$B$4,1))*200)))</x:f>
      </x:c>
      <x:c r="N123" s="18" t="str">
        <x:f>IF(A123="","",(H123*Setup!$B$9)+(I123*Setup!$B$10)+(J123*Setup!$B$11)+(K123*Setup!$B$12))</x:f>
      </x:c>
      <x:c r="O123" s="18" t="str">
        <x:f>IF(A123="","",ROUND((0.4*M123)+(0.3*C123)+(0.3*D123)-N123,0))</x:f>
      </x:c>
      <x:c r="P123" s="18" t="str">
        <x:f>IF(A123="","",ROUND((F123*G123*Setup!$B$7)+(E123*Setup!$B$8),0))</x:f>
      </x:c>
      <x:c r="Q123" s="18" t="str">
        <x:f>IF(A123="","",ROUND(O123-(P123/2),0))</x:f>
      </x:c>
      <x:c r="R123" s="18" t="str">
        <x:f>IF(A123="","",IF(OR(O123&lt;Setup!$B$6,Q123&lt;0),"Recuperación activa / descanso",IF(O123&lt;Setup!$B$5,"Entrenamiento moderado","Entrena fuerte / alto rendimiento")))</x:f>
      </x:c>
      <x:c r="S123" s="18" t="str">
        <x:f>IF(A123="","",IF(OR(O123&lt;Setup!$B$6,Q123&lt;0),"Rojo",IF(O123&lt;Setup!$B$5,"Amarillo","Verde")))</x:f>
      </x:c>
    </x:row>
    <x:row r="124">
      <x:c r="A124" s="17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 t="str">
        <x:f>IF(B124="","",MIN(100,MAX(0,50+((B124-Setup!$B$4)/MAX(Setup!$B$4,1))*200)))</x:f>
      </x:c>
      <x:c r="N124" s="18" t="str">
        <x:f>IF(A124="","",(H124*Setup!$B$9)+(I124*Setup!$B$10)+(J124*Setup!$B$11)+(K124*Setup!$B$12))</x:f>
      </x:c>
      <x:c r="O124" s="18" t="str">
        <x:f>IF(A124="","",ROUND((0.4*M124)+(0.3*C124)+(0.3*D124)-N124,0))</x:f>
      </x:c>
      <x:c r="P124" s="18" t="str">
        <x:f>IF(A124="","",ROUND((F124*G124*Setup!$B$7)+(E124*Setup!$B$8),0))</x:f>
      </x:c>
      <x:c r="Q124" s="18" t="str">
        <x:f>IF(A124="","",ROUND(O124-(P124/2),0))</x:f>
      </x:c>
      <x:c r="R124" s="18" t="str">
        <x:f>IF(A124="","",IF(OR(O124&lt;Setup!$B$6,Q124&lt;0),"Recuperación activa / descanso",IF(O124&lt;Setup!$B$5,"Entrenamiento moderado","Entrena fuerte / alto rendimiento")))</x:f>
      </x:c>
      <x:c r="S124" s="18" t="str">
        <x:f>IF(A124="","",IF(OR(O124&lt;Setup!$B$6,Q124&lt;0),"Rojo",IF(O124&lt;Setup!$B$5,"Amarillo","Verde")))</x:f>
      </x:c>
    </x:row>
    <x:row r="125">
      <x:c r="A125" s="17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 t="str">
        <x:f>IF(B125="","",MIN(100,MAX(0,50+((B125-Setup!$B$4)/MAX(Setup!$B$4,1))*200)))</x:f>
      </x:c>
      <x:c r="N125" s="18" t="str">
        <x:f>IF(A125="","",(H125*Setup!$B$9)+(I125*Setup!$B$10)+(J125*Setup!$B$11)+(K125*Setup!$B$12))</x:f>
      </x:c>
      <x:c r="O125" s="18" t="str">
        <x:f>IF(A125="","",ROUND((0.4*M125)+(0.3*C125)+(0.3*D125)-N125,0))</x:f>
      </x:c>
      <x:c r="P125" s="18" t="str">
        <x:f>IF(A125="","",ROUND((F125*G125*Setup!$B$7)+(E125*Setup!$B$8),0))</x:f>
      </x:c>
      <x:c r="Q125" s="18" t="str">
        <x:f>IF(A125="","",ROUND(O125-(P125/2),0))</x:f>
      </x:c>
      <x:c r="R125" s="18" t="str">
        <x:f>IF(A125="","",IF(OR(O125&lt;Setup!$B$6,Q125&lt;0),"Recuperación activa / descanso",IF(O125&lt;Setup!$B$5,"Entrenamiento moderado","Entrena fuerte / alto rendimiento")))</x:f>
      </x:c>
      <x:c r="S125" s="18" t="str">
        <x:f>IF(A125="","",IF(OR(O125&lt;Setup!$B$6,Q125&lt;0),"Rojo",IF(O125&lt;Setup!$B$5,"Amarillo","Verde")))</x:f>
      </x:c>
    </x:row>
    <x:row r="126">
      <x:c r="A126" s="17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 t="str">
        <x:f>IF(B126="","",MIN(100,MAX(0,50+((B126-Setup!$B$4)/MAX(Setup!$B$4,1))*200)))</x:f>
      </x:c>
      <x:c r="N126" s="18" t="str">
        <x:f>IF(A126="","",(H126*Setup!$B$9)+(I126*Setup!$B$10)+(J126*Setup!$B$11)+(K126*Setup!$B$12))</x:f>
      </x:c>
      <x:c r="O126" s="18" t="str">
        <x:f>IF(A126="","",ROUND((0.4*M126)+(0.3*C126)+(0.3*D126)-N126,0))</x:f>
      </x:c>
      <x:c r="P126" s="18" t="str">
        <x:f>IF(A126="","",ROUND((F126*G126*Setup!$B$7)+(E126*Setup!$B$8),0))</x:f>
      </x:c>
      <x:c r="Q126" s="18" t="str">
        <x:f>IF(A126="","",ROUND(O126-(P126/2),0))</x:f>
      </x:c>
      <x:c r="R126" s="18" t="str">
        <x:f>IF(A126="","",IF(OR(O126&lt;Setup!$B$6,Q126&lt;0),"Recuperación activa / descanso",IF(O126&lt;Setup!$B$5,"Entrenamiento moderado","Entrena fuerte / alto rendimiento")))</x:f>
      </x:c>
      <x:c r="S126" s="18" t="str">
        <x:f>IF(A126="","",IF(OR(O126&lt;Setup!$B$6,Q126&lt;0),"Rojo",IF(O126&lt;Setup!$B$5,"Amarillo","Verde")))</x:f>
      </x:c>
    </x:row>
    <x:row r="127">
      <x:c r="A127" s="17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 t="str">
        <x:f>IF(B127="","",MIN(100,MAX(0,50+((B127-Setup!$B$4)/MAX(Setup!$B$4,1))*200)))</x:f>
      </x:c>
      <x:c r="N127" s="18" t="str">
        <x:f>IF(A127="","",(H127*Setup!$B$9)+(I127*Setup!$B$10)+(J127*Setup!$B$11)+(K127*Setup!$B$12))</x:f>
      </x:c>
      <x:c r="O127" s="18" t="str">
        <x:f>IF(A127="","",ROUND((0.4*M127)+(0.3*C127)+(0.3*D127)-N127,0))</x:f>
      </x:c>
      <x:c r="P127" s="18" t="str">
        <x:f>IF(A127="","",ROUND((F127*G127*Setup!$B$7)+(E127*Setup!$B$8),0))</x:f>
      </x:c>
      <x:c r="Q127" s="18" t="str">
        <x:f>IF(A127="","",ROUND(O127-(P127/2),0))</x:f>
      </x:c>
      <x:c r="R127" s="18" t="str">
        <x:f>IF(A127="","",IF(OR(O127&lt;Setup!$B$6,Q127&lt;0),"Recuperación activa / descanso",IF(O127&lt;Setup!$B$5,"Entrenamiento moderado","Entrena fuerte / alto rendimiento")))</x:f>
      </x:c>
      <x:c r="S127" s="18" t="str">
        <x:f>IF(A127="","",IF(OR(O127&lt;Setup!$B$6,Q127&lt;0),"Rojo",IF(O127&lt;Setup!$B$5,"Amarillo","Verde")))</x:f>
      </x:c>
    </x:row>
    <x:row r="128">
      <x:c r="A128" s="17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 t="str">
        <x:f>IF(B128="","",MIN(100,MAX(0,50+((B128-Setup!$B$4)/MAX(Setup!$B$4,1))*200)))</x:f>
      </x:c>
      <x:c r="N128" s="18" t="str">
        <x:f>IF(A128="","",(H128*Setup!$B$9)+(I128*Setup!$B$10)+(J128*Setup!$B$11)+(K128*Setup!$B$12))</x:f>
      </x:c>
      <x:c r="O128" s="18" t="str">
        <x:f>IF(A128="","",ROUND((0.4*M128)+(0.3*C128)+(0.3*D128)-N128,0))</x:f>
      </x:c>
      <x:c r="P128" s="18" t="str">
        <x:f>IF(A128="","",ROUND((F128*G128*Setup!$B$7)+(E128*Setup!$B$8),0))</x:f>
      </x:c>
      <x:c r="Q128" s="18" t="str">
        <x:f>IF(A128="","",ROUND(O128-(P128/2),0))</x:f>
      </x:c>
      <x:c r="R128" s="18" t="str">
        <x:f>IF(A128="","",IF(OR(O128&lt;Setup!$B$6,Q128&lt;0),"Recuperación activa / descanso",IF(O128&lt;Setup!$B$5,"Entrenamiento moderado","Entrena fuerte / alto rendimiento")))</x:f>
      </x:c>
      <x:c r="S128" s="18" t="str">
        <x:f>IF(A128="","",IF(OR(O128&lt;Setup!$B$6,Q128&lt;0),"Rojo",IF(O128&lt;Setup!$B$5,"Amarillo","Verde")))</x:f>
      </x:c>
    </x:row>
    <x:row r="129">
      <x:c r="A129" s="17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 t="str">
        <x:f>IF(B129="","",MIN(100,MAX(0,50+((B129-Setup!$B$4)/MAX(Setup!$B$4,1))*200)))</x:f>
      </x:c>
      <x:c r="N129" s="18" t="str">
        <x:f>IF(A129="","",(H129*Setup!$B$9)+(I129*Setup!$B$10)+(J129*Setup!$B$11)+(K129*Setup!$B$12))</x:f>
      </x:c>
      <x:c r="O129" s="18" t="str">
        <x:f>IF(A129="","",ROUND((0.4*M129)+(0.3*C129)+(0.3*D129)-N129,0))</x:f>
      </x:c>
      <x:c r="P129" s="18" t="str">
        <x:f>IF(A129="","",ROUND((F129*G129*Setup!$B$7)+(E129*Setup!$B$8),0))</x:f>
      </x:c>
      <x:c r="Q129" s="18" t="str">
        <x:f>IF(A129="","",ROUND(O129-(P129/2),0))</x:f>
      </x:c>
      <x:c r="R129" s="18" t="str">
        <x:f>IF(A129="","",IF(OR(O129&lt;Setup!$B$6,Q129&lt;0),"Recuperación activa / descanso",IF(O129&lt;Setup!$B$5,"Entrenamiento moderado","Entrena fuerte / alto rendimiento")))</x:f>
      </x:c>
      <x:c r="S129" s="18" t="str">
        <x:f>IF(A129="","",IF(OR(O129&lt;Setup!$B$6,Q129&lt;0),"Rojo",IF(O129&lt;Setup!$B$5,"Amarillo","Verde")))</x:f>
      </x:c>
    </x:row>
    <x:row r="130">
      <x:c r="A130" s="17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 t="str">
        <x:f>IF(B130="","",MIN(100,MAX(0,50+((B130-Setup!$B$4)/MAX(Setup!$B$4,1))*200)))</x:f>
      </x:c>
      <x:c r="N130" s="18" t="str">
        <x:f>IF(A130="","",(H130*Setup!$B$9)+(I130*Setup!$B$10)+(J130*Setup!$B$11)+(K130*Setup!$B$12))</x:f>
      </x:c>
      <x:c r="O130" s="18" t="str">
        <x:f>IF(A130="","",ROUND((0.4*M130)+(0.3*C130)+(0.3*D130)-N130,0))</x:f>
      </x:c>
      <x:c r="P130" s="18" t="str">
        <x:f>IF(A130="","",ROUND((F130*G130*Setup!$B$7)+(E130*Setup!$B$8),0))</x:f>
      </x:c>
      <x:c r="Q130" s="18" t="str">
        <x:f>IF(A130="","",ROUND(O130-(P130/2),0))</x:f>
      </x:c>
      <x:c r="R130" s="18" t="str">
        <x:f>IF(A130="","",IF(OR(O130&lt;Setup!$B$6,Q130&lt;0),"Recuperación activa / descanso",IF(O130&lt;Setup!$B$5,"Entrenamiento moderado","Entrena fuerte / alto rendimiento")))</x:f>
      </x:c>
      <x:c r="S130" s="18" t="str">
        <x:f>IF(A130="","",IF(OR(O130&lt;Setup!$B$6,Q130&lt;0),"Rojo",IF(O130&lt;Setup!$B$5,"Amarillo","Verde")))</x:f>
      </x:c>
    </x:row>
    <x:row r="131">
      <x:c r="A131" s="17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 t="str">
        <x:f>IF(B131="","",MIN(100,MAX(0,50+((B131-Setup!$B$4)/MAX(Setup!$B$4,1))*200)))</x:f>
      </x:c>
      <x:c r="N131" s="18" t="str">
        <x:f>IF(A131="","",(H131*Setup!$B$9)+(I131*Setup!$B$10)+(J131*Setup!$B$11)+(K131*Setup!$B$12))</x:f>
      </x:c>
      <x:c r="O131" s="18" t="str">
        <x:f>IF(A131="","",ROUND((0.4*M131)+(0.3*C131)+(0.3*D131)-N131,0))</x:f>
      </x:c>
      <x:c r="P131" s="18" t="str">
        <x:f>IF(A131="","",ROUND((F131*G131*Setup!$B$7)+(E131*Setup!$B$8),0))</x:f>
      </x:c>
      <x:c r="Q131" s="18" t="str">
        <x:f>IF(A131="","",ROUND(O131-(P131/2),0))</x:f>
      </x:c>
      <x:c r="R131" s="18" t="str">
        <x:f>IF(A131="","",IF(OR(O131&lt;Setup!$B$6,Q131&lt;0),"Recuperación activa / descanso",IF(O131&lt;Setup!$B$5,"Entrenamiento moderado","Entrena fuerte / alto rendimiento")))</x:f>
      </x:c>
      <x:c r="S131" s="18" t="str">
        <x:f>IF(A131="","",IF(OR(O131&lt;Setup!$B$6,Q131&lt;0),"Rojo",IF(O131&lt;Setup!$B$5,"Amarillo","Verde")))</x:f>
      </x:c>
    </x:row>
    <x:row r="132">
      <x:c r="A132" s="17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 t="str">
        <x:f>IF(B132="","",MIN(100,MAX(0,50+((B132-Setup!$B$4)/MAX(Setup!$B$4,1))*200)))</x:f>
      </x:c>
      <x:c r="N132" s="18" t="str">
        <x:f>IF(A132="","",(H132*Setup!$B$9)+(I132*Setup!$B$10)+(J132*Setup!$B$11)+(K132*Setup!$B$12))</x:f>
      </x:c>
      <x:c r="O132" s="18" t="str">
        <x:f>IF(A132="","",ROUND((0.4*M132)+(0.3*C132)+(0.3*D132)-N132,0))</x:f>
      </x:c>
      <x:c r="P132" s="18" t="str">
        <x:f>IF(A132="","",ROUND((F132*G132*Setup!$B$7)+(E132*Setup!$B$8),0))</x:f>
      </x:c>
      <x:c r="Q132" s="18" t="str">
        <x:f>IF(A132="","",ROUND(O132-(P132/2),0))</x:f>
      </x:c>
      <x:c r="R132" s="18" t="str">
        <x:f>IF(A132="","",IF(OR(O132&lt;Setup!$B$6,Q132&lt;0),"Recuperación activa / descanso",IF(O132&lt;Setup!$B$5,"Entrenamiento moderado","Entrena fuerte / alto rendimiento")))</x:f>
      </x:c>
      <x:c r="S132" s="18" t="str">
        <x:f>IF(A132="","",IF(OR(O132&lt;Setup!$B$6,Q132&lt;0),"Rojo",IF(O132&lt;Setup!$B$5,"Amarillo","Verde")))</x:f>
      </x:c>
    </x:row>
    <x:row r="133">
      <x:c r="A133" s="17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 t="str">
        <x:f>IF(B133="","",MIN(100,MAX(0,50+((B133-Setup!$B$4)/MAX(Setup!$B$4,1))*200)))</x:f>
      </x:c>
      <x:c r="N133" s="18" t="str">
        <x:f>IF(A133="","",(H133*Setup!$B$9)+(I133*Setup!$B$10)+(J133*Setup!$B$11)+(K133*Setup!$B$12))</x:f>
      </x:c>
      <x:c r="O133" s="18" t="str">
        <x:f>IF(A133="","",ROUND((0.4*M133)+(0.3*C133)+(0.3*D133)-N133,0))</x:f>
      </x:c>
      <x:c r="P133" s="18" t="str">
        <x:f>IF(A133="","",ROUND((F133*G133*Setup!$B$7)+(E133*Setup!$B$8),0))</x:f>
      </x:c>
      <x:c r="Q133" s="18" t="str">
        <x:f>IF(A133="","",ROUND(O133-(P133/2),0))</x:f>
      </x:c>
      <x:c r="R133" s="18" t="str">
        <x:f>IF(A133="","",IF(OR(O133&lt;Setup!$B$6,Q133&lt;0),"Recuperación activa / descanso",IF(O133&lt;Setup!$B$5,"Entrenamiento moderado","Entrena fuerte / alto rendimiento")))</x:f>
      </x:c>
      <x:c r="S133" s="18" t="str">
        <x:f>IF(A133="","",IF(OR(O133&lt;Setup!$B$6,Q133&lt;0),"Rojo",IF(O133&lt;Setup!$B$5,"Amarillo","Verde")))</x:f>
      </x:c>
    </x:row>
    <x:row r="134">
      <x:c r="A134" s="17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 t="str">
        <x:f>IF(B134="","",MIN(100,MAX(0,50+((B134-Setup!$B$4)/MAX(Setup!$B$4,1))*200)))</x:f>
      </x:c>
      <x:c r="N134" s="18" t="str">
        <x:f>IF(A134="","",(H134*Setup!$B$9)+(I134*Setup!$B$10)+(J134*Setup!$B$11)+(K134*Setup!$B$12))</x:f>
      </x:c>
      <x:c r="O134" s="18" t="str">
        <x:f>IF(A134="","",ROUND((0.4*M134)+(0.3*C134)+(0.3*D134)-N134,0))</x:f>
      </x:c>
      <x:c r="P134" s="18" t="str">
        <x:f>IF(A134="","",ROUND((F134*G134*Setup!$B$7)+(E134*Setup!$B$8),0))</x:f>
      </x:c>
      <x:c r="Q134" s="18" t="str">
        <x:f>IF(A134="","",ROUND(O134-(P134/2),0))</x:f>
      </x:c>
      <x:c r="R134" s="18" t="str">
        <x:f>IF(A134="","",IF(OR(O134&lt;Setup!$B$6,Q134&lt;0),"Recuperación activa / descanso",IF(O134&lt;Setup!$B$5,"Entrenamiento moderado","Entrena fuerte / alto rendimiento")))</x:f>
      </x:c>
      <x:c r="S134" s="18" t="str">
        <x:f>IF(A134="","",IF(OR(O134&lt;Setup!$B$6,Q134&lt;0),"Rojo",IF(O134&lt;Setup!$B$5,"Amarillo","Verde")))</x:f>
      </x:c>
    </x:row>
    <x:row r="135">
      <x:c r="A135" s="17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 t="str">
        <x:f>IF(B135="","",MIN(100,MAX(0,50+((B135-Setup!$B$4)/MAX(Setup!$B$4,1))*200)))</x:f>
      </x:c>
      <x:c r="N135" s="18" t="str">
        <x:f>IF(A135="","",(H135*Setup!$B$9)+(I135*Setup!$B$10)+(J135*Setup!$B$11)+(K135*Setup!$B$12))</x:f>
      </x:c>
      <x:c r="O135" s="18" t="str">
        <x:f>IF(A135="","",ROUND((0.4*M135)+(0.3*C135)+(0.3*D135)-N135,0))</x:f>
      </x:c>
      <x:c r="P135" s="18" t="str">
        <x:f>IF(A135="","",ROUND((F135*G135*Setup!$B$7)+(E135*Setup!$B$8),0))</x:f>
      </x:c>
      <x:c r="Q135" s="18" t="str">
        <x:f>IF(A135="","",ROUND(O135-(P135/2),0))</x:f>
      </x:c>
      <x:c r="R135" s="18" t="str">
        <x:f>IF(A135="","",IF(OR(O135&lt;Setup!$B$6,Q135&lt;0),"Recuperación activa / descanso",IF(O135&lt;Setup!$B$5,"Entrenamiento moderado","Entrena fuerte / alto rendimiento")))</x:f>
      </x:c>
      <x:c r="S135" s="18" t="str">
        <x:f>IF(A135="","",IF(OR(O135&lt;Setup!$B$6,Q135&lt;0),"Rojo",IF(O135&lt;Setup!$B$5,"Amarillo","Verde")))</x:f>
      </x:c>
    </x:row>
    <x:row r="136">
      <x:c r="A136" s="17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 t="str">
        <x:f>IF(B136="","",MIN(100,MAX(0,50+((B136-Setup!$B$4)/MAX(Setup!$B$4,1))*200)))</x:f>
      </x:c>
      <x:c r="N136" s="18" t="str">
        <x:f>IF(A136="","",(H136*Setup!$B$9)+(I136*Setup!$B$10)+(J136*Setup!$B$11)+(K136*Setup!$B$12))</x:f>
      </x:c>
      <x:c r="O136" s="18" t="str">
        <x:f>IF(A136="","",ROUND((0.4*M136)+(0.3*C136)+(0.3*D136)-N136,0))</x:f>
      </x:c>
      <x:c r="P136" s="18" t="str">
        <x:f>IF(A136="","",ROUND((F136*G136*Setup!$B$7)+(E136*Setup!$B$8),0))</x:f>
      </x:c>
      <x:c r="Q136" s="18" t="str">
        <x:f>IF(A136="","",ROUND(O136-(P136/2),0))</x:f>
      </x:c>
      <x:c r="R136" s="18" t="str">
        <x:f>IF(A136="","",IF(OR(O136&lt;Setup!$B$6,Q136&lt;0),"Recuperación activa / descanso",IF(O136&lt;Setup!$B$5,"Entrenamiento moderado","Entrena fuerte / alto rendimiento")))</x:f>
      </x:c>
      <x:c r="S136" s="18" t="str">
        <x:f>IF(A136="","",IF(OR(O136&lt;Setup!$B$6,Q136&lt;0),"Rojo",IF(O136&lt;Setup!$B$5,"Amarillo","Verde")))</x:f>
      </x:c>
    </x:row>
    <x:row r="137">
      <x:c r="A137" s="17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 t="str">
        <x:f>IF(B137="","",MIN(100,MAX(0,50+((B137-Setup!$B$4)/MAX(Setup!$B$4,1))*200)))</x:f>
      </x:c>
      <x:c r="N137" s="18" t="str">
        <x:f>IF(A137="","",(H137*Setup!$B$9)+(I137*Setup!$B$10)+(J137*Setup!$B$11)+(K137*Setup!$B$12))</x:f>
      </x:c>
      <x:c r="O137" s="18" t="str">
        <x:f>IF(A137="","",ROUND((0.4*M137)+(0.3*C137)+(0.3*D137)-N137,0))</x:f>
      </x:c>
      <x:c r="P137" s="18" t="str">
        <x:f>IF(A137="","",ROUND((F137*G137*Setup!$B$7)+(E137*Setup!$B$8),0))</x:f>
      </x:c>
      <x:c r="Q137" s="18" t="str">
        <x:f>IF(A137="","",ROUND(O137-(P137/2),0))</x:f>
      </x:c>
      <x:c r="R137" s="18" t="str">
        <x:f>IF(A137="","",IF(OR(O137&lt;Setup!$B$6,Q137&lt;0),"Recuperación activa / descanso",IF(O137&lt;Setup!$B$5,"Entrenamiento moderado","Entrena fuerte / alto rendimiento")))</x:f>
      </x:c>
      <x:c r="S137" s="18" t="str">
        <x:f>IF(A137="","",IF(OR(O137&lt;Setup!$B$6,Q137&lt;0),"Rojo",IF(O137&lt;Setup!$B$5,"Amarillo","Verde")))</x:f>
      </x:c>
    </x:row>
    <x:row r="138">
      <x:c r="A138" s="17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 t="str">
        <x:f>IF(B138="","",MIN(100,MAX(0,50+((B138-Setup!$B$4)/MAX(Setup!$B$4,1))*200)))</x:f>
      </x:c>
      <x:c r="N138" s="18" t="str">
        <x:f>IF(A138="","",(H138*Setup!$B$9)+(I138*Setup!$B$10)+(J138*Setup!$B$11)+(K138*Setup!$B$12))</x:f>
      </x:c>
      <x:c r="O138" s="18" t="str">
        <x:f>IF(A138="","",ROUND((0.4*M138)+(0.3*C138)+(0.3*D138)-N138,0))</x:f>
      </x:c>
      <x:c r="P138" s="18" t="str">
        <x:f>IF(A138="","",ROUND((F138*G138*Setup!$B$7)+(E138*Setup!$B$8),0))</x:f>
      </x:c>
      <x:c r="Q138" s="18" t="str">
        <x:f>IF(A138="","",ROUND(O138-(P138/2),0))</x:f>
      </x:c>
      <x:c r="R138" s="18" t="str">
        <x:f>IF(A138="","",IF(OR(O138&lt;Setup!$B$6,Q138&lt;0),"Recuperación activa / descanso",IF(O138&lt;Setup!$B$5,"Entrenamiento moderado","Entrena fuerte / alto rendimiento")))</x:f>
      </x:c>
      <x:c r="S138" s="18" t="str">
        <x:f>IF(A138="","",IF(OR(O138&lt;Setup!$B$6,Q138&lt;0),"Rojo",IF(O138&lt;Setup!$B$5,"Amarillo","Verde")))</x:f>
      </x:c>
    </x:row>
    <x:row r="139">
      <x:c r="A139" s="17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 t="str">
        <x:f>IF(B139="","",MIN(100,MAX(0,50+((B139-Setup!$B$4)/MAX(Setup!$B$4,1))*200)))</x:f>
      </x:c>
      <x:c r="N139" s="18" t="str">
        <x:f>IF(A139="","",(H139*Setup!$B$9)+(I139*Setup!$B$10)+(J139*Setup!$B$11)+(K139*Setup!$B$12))</x:f>
      </x:c>
      <x:c r="O139" s="18" t="str">
        <x:f>IF(A139="","",ROUND((0.4*M139)+(0.3*C139)+(0.3*D139)-N139,0))</x:f>
      </x:c>
      <x:c r="P139" s="18" t="str">
        <x:f>IF(A139="","",ROUND((F139*G139*Setup!$B$7)+(E139*Setup!$B$8),0))</x:f>
      </x:c>
      <x:c r="Q139" s="18" t="str">
        <x:f>IF(A139="","",ROUND(O139-(P139/2),0))</x:f>
      </x:c>
      <x:c r="R139" s="18" t="str">
        <x:f>IF(A139="","",IF(OR(O139&lt;Setup!$B$6,Q139&lt;0),"Recuperación activa / descanso",IF(O139&lt;Setup!$B$5,"Entrenamiento moderado","Entrena fuerte / alto rendimiento")))</x:f>
      </x:c>
      <x:c r="S139" s="18" t="str">
        <x:f>IF(A139="","",IF(OR(O139&lt;Setup!$B$6,Q139&lt;0),"Rojo",IF(O139&lt;Setup!$B$5,"Amarillo","Verde")))</x:f>
      </x:c>
    </x:row>
    <x:row r="140">
      <x:c r="A140" s="17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 t="str">
        <x:f>IF(B140="","",MIN(100,MAX(0,50+((B140-Setup!$B$4)/MAX(Setup!$B$4,1))*200)))</x:f>
      </x:c>
      <x:c r="N140" s="18" t="str">
        <x:f>IF(A140="","",(H140*Setup!$B$9)+(I140*Setup!$B$10)+(J140*Setup!$B$11)+(K140*Setup!$B$12))</x:f>
      </x:c>
      <x:c r="O140" s="18" t="str">
        <x:f>IF(A140="","",ROUND((0.4*M140)+(0.3*C140)+(0.3*D140)-N140,0))</x:f>
      </x:c>
      <x:c r="P140" s="18" t="str">
        <x:f>IF(A140="","",ROUND((F140*G140*Setup!$B$7)+(E140*Setup!$B$8),0))</x:f>
      </x:c>
      <x:c r="Q140" s="18" t="str">
        <x:f>IF(A140="","",ROUND(O140-(P140/2),0))</x:f>
      </x:c>
      <x:c r="R140" s="18" t="str">
        <x:f>IF(A140="","",IF(OR(O140&lt;Setup!$B$6,Q140&lt;0),"Recuperación activa / descanso",IF(O140&lt;Setup!$B$5,"Entrenamiento moderado","Entrena fuerte / alto rendimiento")))</x:f>
      </x:c>
      <x:c r="S140" s="18" t="str">
        <x:f>IF(A140="","",IF(OR(O140&lt;Setup!$B$6,Q140&lt;0),"Rojo",IF(O140&lt;Setup!$B$5,"Amarillo","Verde")))</x:f>
      </x:c>
    </x:row>
    <x:row r="141">
      <x:c r="A141" s="17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 t="str">
        <x:f>IF(B141="","",MIN(100,MAX(0,50+((B141-Setup!$B$4)/MAX(Setup!$B$4,1))*200)))</x:f>
      </x:c>
      <x:c r="N141" s="18" t="str">
        <x:f>IF(A141="","",(H141*Setup!$B$9)+(I141*Setup!$B$10)+(J141*Setup!$B$11)+(K141*Setup!$B$12))</x:f>
      </x:c>
      <x:c r="O141" s="18" t="str">
        <x:f>IF(A141="","",ROUND((0.4*M141)+(0.3*C141)+(0.3*D141)-N141,0))</x:f>
      </x:c>
      <x:c r="P141" s="18" t="str">
        <x:f>IF(A141="","",ROUND((F141*G141*Setup!$B$7)+(E141*Setup!$B$8),0))</x:f>
      </x:c>
      <x:c r="Q141" s="18" t="str">
        <x:f>IF(A141="","",ROUND(O141-(P141/2),0))</x:f>
      </x:c>
      <x:c r="R141" s="18" t="str">
        <x:f>IF(A141="","",IF(OR(O141&lt;Setup!$B$6,Q141&lt;0),"Recuperación activa / descanso",IF(O141&lt;Setup!$B$5,"Entrenamiento moderado","Entrena fuerte / alto rendimiento")))</x:f>
      </x:c>
      <x:c r="S141" s="18" t="str">
        <x:f>IF(A141="","",IF(OR(O141&lt;Setup!$B$6,Q141&lt;0),"Rojo",IF(O141&lt;Setup!$B$5,"Amarillo","Verde")))</x:f>
      </x:c>
    </x:row>
    <x:row r="142">
      <x:c r="A142" s="17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 t="str">
        <x:f>IF(B142="","",MIN(100,MAX(0,50+((B142-Setup!$B$4)/MAX(Setup!$B$4,1))*200)))</x:f>
      </x:c>
      <x:c r="N142" s="18" t="str">
        <x:f>IF(A142="","",(H142*Setup!$B$9)+(I142*Setup!$B$10)+(J142*Setup!$B$11)+(K142*Setup!$B$12))</x:f>
      </x:c>
      <x:c r="O142" s="18" t="str">
        <x:f>IF(A142="","",ROUND((0.4*M142)+(0.3*C142)+(0.3*D142)-N142,0))</x:f>
      </x:c>
      <x:c r="P142" s="18" t="str">
        <x:f>IF(A142="","",ROUND((F142*G142*Setup!$B$7)+(E142*Setup!$B$8),0))</x:f>
      </x:c>
      <x:c r="Q142" s="18" t="str">
        <x:f>IF(A142="","",ROUND(O142-(P142/2),0))</x:f>
      </x:c>
      <x:c r="R142" s="18" t="str">
        <x:f>IF(A142="","",IF(OR(O142&lt;Setup!$B$6,Q142&lt;0),"Recuperación activa / descanso",IF(O142&lt;Setup!$B$5,"Entrenamiento moderado","Entrena fuerte / alto rendimiento")))</x:f>
      </x:c>
      <x:c r="S142" s="18" t="str">
        <x:f>IF(A142="","",IF(OR(O142&lt;Setup!$B$6,Q142&lt;0),"Rojo",IF(O142&lt;Setup!$B$5,"Amarillo","Verde")))</x:f>
      </x:c>
    </x:row>
    <x:row r="143">
      <x:c r="A143" s="17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 t="str">
        <x:f>IF(B143="","",MIN(100,MAX(0,50+((B143-Setup!$B$4)/MAX(Setup!$B$4,1))*200)))</x:f>
      </x:c>
      <x:c r="N143" s="18" t="str">
        <x:f>IF(A143="","",(H143*Setup!$B$9)+(I143*Setup!$B$10)+(J143*Setup!$B$11)+(K143*Setup!$B$12))</x:f>
      </x:c>
      <x:c r="O143" s="18" t="str">
        <x:f>IF(A143="","",ROUND((0.4*M143)+(0.3*C143)+(0.3*D143)-N143,0))</x:f>
      </x:c>
      <x:c r="P143" s="18" t="str">
        <x:f>IF(A143="","",ROUND((F143*G143*Setup!$B$7)+(E143*Setup!$B$8),0))</x:f>
      </x:c>
      <x:c r="Q143" s="18" t="str">
        <x:f>IF(A143="","",ROUND(O143-(P143/2),0))</x:f>
      </x:c>
      <x:c r="R143" s="18" t="str">
        <x:f>IF(A143="","",IF(OR(O143&lt;Setup!$B$6,Q143&lt;0),"Recuperación activa / descanso",IF(O143&lt;Setup!$B$5,"Entrenamiento moderado","Entrena fuerte / alto rendimiento")))</x:f>
      </x:c>
      <x:c r="S143" s="18" t="str">
        <x:f>IF(A143="","",IF(OR(O143&lt;Setup!$B$6,Q143&lt;0),"Rojo",IF(O143&lt;Setup!$B$5,"Amarillo","Verde")))</x:f>
      </x:c>
    </x:row>
    <x:row r="144">
      <x:c r="A144" s="17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 t="str">
        <x:f>IF(B144="","",MIN(100,MAX(0,50+((B144-Setup!$B$4)/MAX(Setup!$B$4,1))*200)))</x:f>
      </x:c>
      <x:c r="N144" s="18" t="str">
        <x:f>IF(A144="","",(H144*Setup!$B$9)+(I144*Setup!$B$10)+(J144*Setup!$B$11)+(K144*Setup!$B$12))</x:f>
      </x:c>
      <x:c r="O144" s="18" t="str">
        <x:f>IF(A144="","",ROUND((0.4*M144)+(0.3*C144)+(0.3*D144)-N144,0))</x:f>
      </x:c>
      <x:c r="P144" s="18" t="str">
        <x:f>IF(A144="","",ROUND((F144*G144*Setup!$B$7)+(E144*Setup!$B$8),0))</x:f>
      </x:c>
      <x:c r="Q144" s="18" t="str">
        <x:f>IF(A144="","",ROUND(O144-(P144/2),0))</x:f>
      </x:c>
      <x:c r="R144" s="18" t="str">
        <x:f>IF(A144="","",IF(OR(O144&lt;Setup!$B$6,Q144&lt;0),"Recuperación activa / descanso",IF(O144&lt;Setup!$B$5,"Entrenamiento moderado","Entrena fuerte / alto rendimiento")))</x:f>
      </x:c>
      <x:c r="S144" s="18" t="str">
        <x:f>IF(A144="","",IF(OR(O144&lt;Setup!$B$6,Q144&lt;0),"Rojo",IF(O144&lt;Setup!$B$5,"Amarillo","Verde")))</x:f>
      </x:c>
    </x:row>
    <x:row r="145">
      <x:c r="A145" s="17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 t="str">
        <x:f>IF(B145="","",MIN(100,MAX(0,50+((B145-Setup!$B$4)/MAX(Setup!$B$4,1))*200)))</x:f>
      </x:c>
      <x:c r="N145" s="18" t="str">
        <x:f>IF(A145="","",(H145*Setup!$B$9)+(I145*Setup!$B$10)+(J145*Setup!$B$11)+(K145*Setup!$B$12))</x:f>
      </x:c>
      <x:c r="O145" s="18" t="str">
        <x:f>IF(A145="","",ROUND((0.4*M145)+(0.3*C145)+(0.3*D145)-N145,0))</x:f>
      </x:c>
      <x:c r="P145" s="18" t="str">
        <x:f>IF(A145="","",ROUND((F145*G145*Setup!$B$7)+(E145*Setup!$B$8),0))</x:f>
      </x:c>
      <x:c r="Q145" s="18" t="str">
        <x:f>IF(A145="","",ROUND(O145-(P145/2),0))</x:f>
      </x:c>
      <x:c r="R145" s="18" t="str">
        <x:f>IF(A145="","",IF(OR(O145&lt;Setup!$B$6,Q145&lt;0),"Recuperación activa / descanso",IF(O145&lt;Setup!$B$5,"Entrenamiento moderado","Entrena fuerte / alto rendimiento")))</x:f>
      </x:c>
      <x:c r="S145" s="18" t="str">
        <x:f>IF(A145="","",IF(OR(O145&lt;Setup!$B$6,Q145&lt;0),"Rojo",IF(O145&lt;Setup!$B$5,"Amarillo","Verde")))</x:f>
      </x:c>
    </x:row>
    <x:row r="146">
      <x:c r="A146" s="17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 t="str">
        <x:f>IF(B146="","",MIN(100,MAX(0,50+((B146-Setup!$B$4)/MAX(Setup!$B$4,1))*200)))</x:f>
      </x:c>
      <x:c r="N146" s="18" t="str">
        <x:f>IF(A146="","",(H146*Setup!$B$9)+(I146*Setup!$B$10)+(J146*Setup!$B$11)+(K146*Setup!$B$12))</x:f>
      </x:c>
      <x:c r="O146" s="18" t="str">
        <x:f>IF(A146="","",ROUND((0.4*M146)+(0.3*C146)+(0.3*D146)-N146,0))</x:f>
      </x:c>
      <x:c r="P146" s="18" t="str">
        <x:f>IF(A146="","",ROUND((F146*G146*Setup!$B$7)+(E146*Setup!$B$8),0))</x:f>
      </x:c>
      <x:c r="Q146" s="18" t="str">
        <x:f>IF(A146="","",ROUND(O146-(P146/2),0))</x:f>
      </x:c>
      <x:c r="R146" s="18" t="str">
        <x:f>IF(A146="","",IF(OR(O146&lt;Setup!$B$6,Q146&lt;0),"Recuperación activa / descanso",IF(O146&lt;Setup!$B$5,"Entrenamiento moderado","Entrena fuerte / alto rendimiento")))</x:f>
      </x:c>
      <x:c r="S146" s="18" t="str">
        <x:f>IF(A146="","",IF(OR(O146&lt;Setup!$B$6,Q146&lt;0),"Rojo",IF(O146&lt;Setup!$B$5,"Amarillo","Verde")))</x:f>
      </x:c>
    </x:row>
    <x:row r="147">
      <x:c r="A147" s="17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 t="str">
        <x:f>IF(B147="","",MIN(100,MAX(0,50+((B147-Setup!$B$4)/MAX(Setup!$B$4,1))*200)))</x:f>
      </x:c>
      <x:c r="N147" s="18" t="str">
        <x:f>IF(A147="","",(H147*Setup!$B$9)+(I147*Setup!$B$10)+(J147*Setup!$B$11)+(K147*Setup!$B$12))</x:f>
      </x:c>
      <x:c r="O147" s="18" t="str">
        <x:f>IF(A147="","",ROUND((0.4*M147)+(0.3*C147)+(0.3*D147)-N147,0))</x:f>
      </x:c>
      <x:c r="P147" s="18" t="str">
        <x:f>IF(A147="","",ROUND((F147*G147*Setup!$B$7)+(E147*Setup!$B$8),0))</x:f>
      </x:c>
      <x:c r="Q147" s="18" t="str">
        <x:f>IF(A147="","",ROUND(O147-(P147/2),0))</x:f>
      </x:c>
      <x:c r="R147" s="18" t="str">
        <x:f>IF(A147="","",IF(OR(O147&lt;Setup!$B$6,Q147&lt;0),"Recuperación activa / descanso",IF(O147&lt;Setup!$B$5,"Entrenamiento moderado","Entrena fuerte / alto rendimiento")))</x:f>
      </x:c>
      <x:c r="S147" s="18" t="str">
        <x:f>IF(A147="","",IF(OR(O147&lt;Setup!$B$6,Q147&lt;0),"Rojo",IF(O147&lt;Setup!$B$5,"Amarillo","Verde")))</x:f>
      </x:c>
    </x:row>
    <x:row r="148">
      <x:c r="A148" s="17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 t="str">
        <x:f>IF(B148="","",MIN(100,MAX(0,50+((B148-Setup!$B$4)/MAX(Setup!$B$4,1))*200)))</x:f>
      </x:c>
      <x:c r="N148" s="18" t="str">
        <x:f>IF(A148="","",(H148*Setup!$B$9)+(I148*Setup!$B$10)+(J148*Setup!$B$11)+(K148*Setup!$B$12))</x:f>
      </x:c>
      <x:c r="O148" s="18" t="str">
        <x:f>IF(A148="","",ROUND((0.4*M148)+(0.3*C148)+(0.3*D148)-N148,0))</x:f>
      </x:c>
      <x:c r="P148" s="18" t="str">
        <x:f>IF(A148="","",ROUND((F148*G148*Setup!$B$7)+(E148*Setup!$B$8),0))</x:f>
      </x:c>
      <x:c r="Q148" s="18" t="str">
        <x:f>IF(A148="","",ROUND(O148-(P148/2),0))</x:f>
      </x:c>
      <x:c r="R148" s="18" t="str">
        <x:f>IF(A148="","",IF(OR(O148&lt;Setup!$B$6,Q148&lt;0),"Recuperación activa / descanso",IF(O148&lt;Setup!$B$5,"Entrenamiento moderado","Entrena fuerte / alto rendimiento")))</x:f>
      </x:c>
      <x:c r="S148" s="18" t="str">
        <x:f>IF(A148="","",IF(OR(O148&lt;Setup!$B$6,Q148&lt;0),"Rojo",IF(O148&lt;Setup!$B$5,"Amarillo","Verde")))</x:f>
      </x:c>
    </x:row>
    <x:row r="149">
      <x:c r="A149" s="17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 t="str">
        <x:f>IF(B149="","",MIN(100,MAX(0,50+((B149-Setup!$B$4)/MAX(Setup!$B$4,1))*200)))</x:f>
      </x:c>
      <x:c r="N149" s="18" t="str">
        <x:f>IF(A149="","",(H149*Setup!$B$9)+(I149*Setup!$B$10)+(J149*Setup!$B$11)+(K149*Setup!$B$12))</x:f>
      </x:c>
      <x:c r="O149" s="18" t="str">
        <x:f>IF(A149="","",ROUND((0.4*M149)+(0.3*C149)+(0.3*D149)-N149,0))</x:f>
      </x:c>
      <x:c r="P149" s="18" t="str">
        <x:f>IF(A149="","",ROUND((F149*G149*Setup!$B$7)+(E149*Setup!$B$8),0))</x:f>
      </x:c>
      <x:c r="Q149" s="18" t="str">
        <x:f>IF(A149="","",ROUND(O149-(P149/2),0))</x:f>
      </x:c>
      <x:c r="R149" s="18" t="str">
        <x:f>IF(A149="","",IF(OR(O149&lt;Setup!$B$6,Q149&lt;0),"Recuperación activa / descanso",IF(O149&lt;Setup!$B$5,"Entrenamiento moderado","Entrena fuerte / alto rendimiento")))</x:f>
      </x:c>
      <x:c r="S149" s="18" t="str">
        <x:f>IF(A149="","",IF(OR(O149&lt;Setup!$B$6,Q149&lt;0),"Rojo",IF(O149&lt;Setup!$B$5,"Amarillo","Verde")))</x:f>
      </x:c>
    </x:row>
    <x:row r="150">
      <x:c r="A150" s="17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 t="str">
        <x:f>IF(B150="","",MIN(100,MAX(0,50+((B150-Setup!$B$4)/MAX(Setup!$B$4,1))*200)))</x:f>
      </x:c>
      <x:c r="N150" s="18" t="str">
        <x:f>IF(A150="","",(H150*Setup!$B$9)+(I150*Setup!$B$10)+(J150*Setup!$B$11)+(K150*Setup!$B$12))</x:f>
      </x:c>
      <x:c r="O150" s="18" t="str">
        <x:f>IF(A150="","",ROUND((0.4*M150)+(0.3*C150)+(0.3*D150)-N150,0))</x:f>
      </x:c>
      <x:c r="P150" s="18" t="str">
        <x:f>IF(A150="","",ROUND((F150*G150*Setup!$B$7)+(E150*Setup!$B$8),0))</x:f>
      </x:c>
      <x:c r="Q150" s="18" t="str">
        <x:f>IF(A150="","",ROUND(O150-(P150/2),0))</x:f>
      </x:c>
      <x:c r="R150" s="18" t="str">
        <x:f>IF(A150="","",IF(OR(O150&lt;Setup!$B$6,Q150&lt;0),"Recuperación activa / descanso",IF(O150&lt;Setup!$B$5,"Entrenamiento moderado","Entrena fuerte / alto rendimiento")))</x:f>
      </x:c>
      <x:c r="S150" s="18" t="str">
        <x:f>IF(A150="","",IF(OR(O150&lt;Setup!$B$6,Q150&lt;0),"Rojo",IF(O150&lt;Setup!$B$5,"Amarillo","Verde")))</x:f>
      </x:c>
    </x:row>
    <x:row r="151">
      <x:c r="A151" s="17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 t="str">
        <x:f>IF(B151="","",MIN(100,MAX(0,50+((B151-Setup!$B$4)/MAX(Setup!$B$4,1))*200)))</x:f>
      </x:c>
      <x:c r="N151" s="18" t="str">
        <x:f>IF(A151="","",(H151*Setup!$B$9)+(I151*Setup!$B$10)+(J151*Setup!$B$11)+(K151*Setup!$B$12))</x:f>
      </x:c>
      <x:c r="O151" s="18" t="str">
        <x:f>IF(A151="","",ROUND((0.4*M151)+(0.3*C151)+(0.3*D151)-N151,0))</x:f>
      </x:c>
      <x:c r="P151" s="18" t="str">
        <x:f>IF(A151="","",ROUND((F151*G151*Setup!$B$7)+(E151*Setup!$B$8),0))</x:f>
      </x:c>
      <x:c r="Q151" s="18" t="str">
        <x:f>IF(A151="","",ROUND(O151-(P151/2),0))</x:f>
      </x:c>
      <x:c r="R151" s="18" t="str">
        <x:f>IF(A151="","",IF(OR(O151&lt;Setup!$B$6,Q151&lt;0),"Recuperación activa / descanso",IF(O151&lt;Setup!$B$5,"Entrenamiento moderado","Entrena fuerte / alto rendimiento")))</x:f>
      </x:c>
      <x:c r="S151" s="18" t="str">
        <x:f>IF(A151="","",IF(OR(O151&lt;Setup!$B$6,Q151&lt;0),"Rojo",IF(O151&lt;Setup!$B$5,"Amarillo","Verde")))</x:f>
      </x:c>
    </x:row>
    <x:row r="152">
      <x:c r="A152" s="17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 t="str">
        <x:f>IF(B152="","",MIN(100,MAX(0,50+((B152-Setup!$B$4)/MAX(Setup!$B$4,1))*200)))</x:f>
      </x:c>
      <x:c r="N152" s="18" t="str">
        <x:f>IF(A152="","",(H152*Setup!$B$9)+(I152*Setup!$B$10)+(J152*Setup!$B$11)+(K152*Setup!$B$12))</x:f>
      </x:c>
      <x:c r="O152" s="18" t="str">
        <x:f>IF(A152="","",ROUND((0.4*M152)+(0.3*C152)+(0.3*D152)-N152,0))</x:f>
      </x:c>
      <x:c r="P152" s="18" t="str">
        <x:f>IF(A152="","",ROUND((F152*G152*Setup!$B$7)+(E152*Setup!$B$8),0))</x:f>
      </x:c>
      <x:c r="Q152" s="18" t="str">
        <x:f>IF(A152="","",ROUND(O152-(P152/2),0))</x:f>
      </x:c>
      <x:c r="R152" s="18" t="str">
        <x:f>IF(A152="","",IF(OR(O152&lt;Setup!$B$6,Q152&lt;0),"Recuperación activa / descanso",IF(O152&lt;Setup!$B$5,"Entrenamiento moderado","Entrena fuerte / alto rendimiento")))</x:f>
      </x:c>
      <x:c r="S152" s="18" t="str">
        <x:f>IF(A152="","",IF(OR(O152&lt;Setup!$B$6,Q152&lt;0),"Rojo",IF(O152&lt;Setup!$B$5,"Amarillo","Verde")))</x:f>
      </x:c>
    </x:row>
    <x:row r="153">
      <x:c r="A153" s="17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 t="str">
        <x:f>IF(B153="","",MIN(100,MAX(0,50+((B153-Setup!$B$4)/MAX(Setup!$B$4,1))*200)))</x:f>
      </x:c>
      <x:c r="N153" s="18" t="str">
        <x:f>IF(A153="","",(H153*Setup!$B$9)+(I153*Setup!$B$10)+(J153*Setup!$B$11)+(K153*Setup!$B$12))</x:f>
      </x:c>
      <x:c r="O153" s="18" t="str">
        <x:f>IF(A153="","",ROUND((0.4*M153)+(0.3*C153)+(0.3*D153)-N153,0))</x:f>
      </x:c>
      <x:c r="P153" s="18" t="str">
        <x:f>IF(A153="","",ROUND((F153*G153*Setup!$B$7)+(E153*Setup!$B$8),0))</x:f>
      </x:c>
      <x:c r="Q153" s="18" t="str">
        <x:f>IF(A153="","",ROUND(O153-(P153/2),0))</x:f>
      </x:c>
      <x:c r="R153" s="18" t="str">
        <x:f>IF(A153="","",IF(OR(O153&lt;Setup!$B$6,Q153&lt;0),"Recuperación activa / descanso",IF(O153&lt;Setup!$B$5,"Entrenamiento moderado","Entrena fuerte / alto rendimiento")))</x:f>
      </x:c>
      <x:c r="S153" s="18" t="str">
        <x:f>IF(A153="","",IF(OR(O153&lt;Setup!$B$6,Q153&lt;0),"Rojo",IF(O153&lt;Setup!$B$5,"Amarillo","Verde")))</x:f>
      </x:c>
    </x:row>
    <x:row r="154">
      <x:c r="A154" s="17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 t="str">
        <x:f>IF(B154="","",MIN(100,MAX(0,50+((B154-Setup!$B$4)/MAX(Setup!$B$4,1))*200)))</x:f>
      </x:c>
      <x:c r="N154" s="18" t="str">
        <x:f>IF(A154="","",(H154*Setup!$B$9)+(I154*Setup!$B$10)+(J154*Setup!$B$11)+(K154*Setup!$B$12))</x:f>
      </x:c>
      <x:c r="O154" s="18" t="str">
        <x:f>IF(A154="","",ROUND((0.4*M154)+(0.3*C154)+(0.3*D154)-N154,0))</x:f>
      </x:c>
      <x:c r="P154" s="18" t="str">
        <x:f>IF(A154="","",ROUND((F154*G154*Setup!$B$7)+(E154*Setup!$B$8),0))</x:f>
      </x:c>
      <x:c r="Q154" s="18" t="str">
        <x:f>IF(A154="","",ROUND(O154-(P154/2),0))</x:f>
      </x:c>
      <x:c r="R154" s="18" t="str">
        <x:f>IF(A154="","",IF(OR(O154&lt;Setup!$B$6,Q154&lt;0),"Recuperación activa / descanso",IF(O154&lt;Setup!$B$5,"Entrenamiento moderado","Entrena fuerte / alto rendimiento")))</x:f>
      </x:c>
      <x:c r="S154" s="18" t="str">
        <x:f>IF(A154="","",IF(OR(O154&lt;Setup!$B$6,Q154&lt;0),"Rojo",IF(O154&lt;Setup!$B$5,"Amarillo","Verde")))</x:f>
      </x:c>
    </x:row>
    <x:row r="155">
      <x:c r="A155" s="17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 t="str">
        <x:f>IF(B155="","",MIN(100,MAX(0,50+((B155-Setup!$B$4)/MAX(Setup!$B$4,1))*200)))</x:f>
      </x:c>
      <x:c r="N155" s="18" t="str">
        <x:f>IF(A155="","",(H155*Setup!$B$9)+(I155*Setup!$B$10)+(J155*Setup!$B$11)+(K155*Setup!$B$12))</x:f>
      </x:c>
      <x:c r="O155" s="18" t="str">
        <x:f>IF(A155="","",ROUND((0.4*M155)+(0.3*C155)+(0.3*D155)-N155,0))</x:f>
      </x:c>
      <x:c r="P155" s="18" t="str">
        <x:f>IF(A155="","",ROUND((F155*G155*Setup!$B$7)+(E155*Setup!$B$8),0))</x:f>
      </x:c>
      <x:c r="Q155" s="18" t="str">
        <x:f>IF(A155="","",ROUND(O155-(P155/2),0))</x:f>
      </x:c>
      <x:c r="R155" s="18" t="str">
        <x:f>IF(A155="","",IF(OR(O155&lt;Setup!$B$6,Q155&lt;0),"Recuperación activa / descanso",IF(O155&lt;Setup!$B$5,"Entrenamiento moderado","Entrena fuerte / alto rendimiento")))</x:f>
      </x:c>
      <x:c r="S155" s="18" t="str">
        <x:f>IF(A155="","",IF(OR(O155&lt;Setup!$B$6,Q155&lt;0),"Rojo",IF(O155&lt;Setup!$B$5,"Amarillo","Verde")))</x:f>
      </x:c>
    </x:row>
    <x:row r="156">
      <x:c r="A156" s="17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 t="str">
        <x:f>IF(B156="","",MIN(100,MAX(0,50+((B156-Setup!$B$4)/MAX(Setup!$B$4,1))*200)))</x:f>
      </x:c>
      <x:c r="N156" s="18" t="str">
        <x:f>IF(A156="","",(H156*Setup!$B$9)+(I156*Setup!$B$10)+(J156*Setup!$B$11)+(K156*Setup!$B$12))</x:f>
      </x:c>
      <x:c r="O156" s="18" t="str">
        <x:f>IF(A156="","",ROUND((0.4*M156)+(0.3*C156)+(0.3*D156)-N156,0))</x:f>
      </x:c>
      <x:c r="P156" s="18" t="str">
        <x:f>IF(A156="","",ROUND((F156*G156*Setup!$B$7)+(E156*Setup!$B$8),0))</x:f>
      </x:c>
      <x:c r="Q156" s="18" t="str">
        <x:f>IF(A156="","",ROUND(O156-(P156/2),0))</x:f>
      </x:c>
      <x:c r="R156" s="18" t="str">
        <x:f>IF(A156="","",IF(OR(O156&lt;Setup!$B$6,Q156&lt;0),"Recuperación activa / descanso",IF(O156&lt;Setup!$B$5,"Entrenamiento moderado","Entrena fuerte / alto rendimiento")))</x:f>
      </x:c>
      <x:c r="S156" s="18" t="str">
        <x:f>IF(A156="","",IF(OR(O156&lt;Setup!$B$6,Q156&lt;0),"Rojo",IF(O156&lt;Setup!$B$5,"Amarillo","Verde")))</x:f>
      </x:c>
    </x:row>
    <x:row r="157">
      <x:c r="A157" s="17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 t="str">
        <x:f>IF(B157="","",MIN(100,MAX(0,50+((B157-Setup!$B$4)/MAX(Setup!$B$4,1))*200)))</x:f>
      </x:c>
      <x:c r="N157" s="18" t="str">
        <x:f>IF(A157="","",(H157*Setup!$B$9)+(I157*Setup!$B$10)+(J157*Setup!$B$11)+(K157*Setup!$B$12))</x:f>
      </x:c>
      <x:c r="O157" s="18" t="str">
        <x:f>IF(A157="","",ROUND((0.4*M157)+(0.3*C157)+(0.3*D157)-N157,0))</x:f>
      </x:c>
      <x:c r="P157" s="18" t="str">
        <x:f>IF(A157="","",ROUND((F157*G157*Setup!$B$7)+(E157*Setup!$B$8),0))</x:f>
      </x:c>
      <x:c r="Q157" s="18" t="str">
        <x:f>IF(A157="","",ROUND(O157-(P157/2),0))</x:f>
      </x:c>
      <x:c r="R157" s="18" t="str">
        <x:f>IF(A157="","",IF(OR(O157&lt;Setup!$B$6,Q157&lt;0),"Recuperación activa / descanso",IF(O157&lt;Setup!$B$5,"Entrenamiento moderado","Entrena fuerte / alto rendimiento")))</x:f>
      </x:c>
      <x:c r="S157" s="18" t="str">
        <x:f>IF(A157="","",IF(OR(O157&lt;Setup!$B$6,Q157&lt;0),"Rojo",IF(O157&lt;Setup!$B$5,"Amarillo","Verde")))</x:f>
      </x:c>
    </x:row>
    <x:row r="158">
      <x:c r="A158" s="17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 t="str">
        <x:f>IF(B158="","",MIN(100,MAX(0,50+((B158-Setup!$B$4)/MAX(Setup!$B$4,1))*200)))</x:f>
      </x:c>
      <x:c r="N158" s="18" t="str">
        <x:f>IF(A158="","",(H158*Setup!$B$9)+(I158*Setup!$B$10)+(J158*Setup!$B$11)+(K158*Setup!$B$12))</x:f>
      </x:c>
      <x:c r="O158" s="18" t="str">
        <x:f>IF(A158="","",ROUND((0.4*M158)+(0.3*C158)+(0.3*D158)-N158,0))</x:f>
      </x:c>
      <x:c r="P158" s="18" t="str">
        <x:f>IF(A158="","",ROUND((F158*G158*Setup!$B$7)+(E158*Setup!$B$8),0))</x:f>
      </x:c>
      <x:c r="Q158" s="18" t="str">
        <x:f>IF(A158="","",ROUND(O158-(P158/2),0))</x:f>
      </x:c>
      <x:c r="R158" s="18" t="str">
        <x:f>IF(A158="","",IF(OR(O158&lt;Setup!$B$6,Q158&lt;0),"Recuperación activa / descanso",IF(O158&lt;Setup!$B$5,"Entrenamiento moderado","Entrena fuerte / alto rendimiento")))</x:f>
      </x:c>
      <x:c r="S158" s="18" t="str">
        <x:f>IF(A158="","",IF(OR(O158&lt;Setup!$B$6,Q158&lt;0),"Rojo",IF(O158&lt;Setup!$B$5,"Amarillo","Verde")))</x:f>
      </x:c>
    </x:row>
    <x:row r="159">
      <x:c r="A159" s="17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 t="str">
        <x:f>IF(B159="","",MIN(100,MAX(0,50+((B159-Setup!$B$4)/MAX(Setup!$B$4,1))*200)))</x:f>
      </x:c>
      <x:c r="N159" s="18" t="str">
        <x:f>IF(A159="","",(H159*Setup!$B$9)+(I159*Setup!$B$10)+(J159*Setup!$B$11)+(K159*Setup!$B$12))</x:f>
      </x:c>
      <x:c r="O159" s="18" t="str">
        <x:f>IF(A159="","",ROUND((0.4*M159)+(0.3*C159)+(0.3*D159)-N159,0))</x:f>
      </x:c>
      <x:c r="P159" s="18" t="str">
        <x:f>IF(A159="","",ROUND((F159*G159*Setup!$B$7)+(E159*Setup!$B$8),0))</x:f>
      </x:c>
      <x:c r="Q159" s="18" t="str">
        <x:f>IF(A159="","",ROUND(O159-(P159/2),0))</x:f>
      </x:c>
      <x:c r="R159" s="18" t="str">
        <x:f>IF(A159="","",IF(OR(O159&lt;Setup!$B$6,Q159&lt;0),"Recuperación activa / descanso",IF(O159&lt;Setup!$B$5,"Entrenamiento moderado","Entrena fuerte / alto rendimiento")))</x:f>
      </x:c>
      <x:c r="S159" s="18" t="str">
        <x:f>IF(A159="","",IF(OR(O159&lt;Setup!$B$6,Q159&lt;0),"Rojo",IF(O159&lt;Setup!$B$5,"Amarillo","Verde")))</x:f>
      </x:c>
    </x:row>
    <x:row r="160">
      <x:c r="A160" s="17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 t="str">
        <x:f>IF(B160="","",MIN(100,MAX(0,50+((B160-Setup!$B$4)/MAX(Setup!$B$4,1))*200)))</x:f>
      </x:c>
      <x:c r="N160" s="18" t="str">
        <x:f>IF(A160="","",(H160*Setup!$B$9)+(I160*Setup!$B$10)+(J160*Setup!$B$11)+(K160*Setup!$B$12))</x:f>
      </x:c>
      <x:c r="O160" s="18" t="str">
        <x:f>IF(A160="","",ROUND((0.4*M160)+(0.3*C160)+(0.3*D160)-N160,0))</x:f>
      </x:c>
      <x:c r="P160" s="18" t="str">
        <x:f>IF(A160="","",ROUND((F160*G160*Setup!$B$7)+(E160*Setup!$B$8),0))</x:f>
      </x:c>
      <x:c r="Q160" s="18" t="str">
        <x:f>IF(A160="","",ROUND(O160-(P160/2),0))</x:f>
      </x:c>
      <x:c r="R160" s="18" t="str">
        <x:f>IF(A160="","",IF(OR(O160&lt;Setup!$B$6,Q160&lt;0),"Recuperación activa / descanso",IF(O160&lt;Setup!$B$5,"Entrenamiento moderado","Entrena fuerte / alto rendimiento")))</x:f>
      </x:c>
      <x:c r="S160" s="18" t="str">
        <x:f>IF(A160="","",IF(OR(O160&lt;Setup!$B$6,Q160&lt;0),"Rojo",IF(O160&lt;Setup!$B$5,"Amarillo","Verde")))</x:f>
      </x:c>
    </x:row>
    <x:row r="161">
      <x:c r="A161" s="17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 t="str">
        <x:f>IF(B161="","",MIN(100,MAX(0,50+((B161-Setup!$B$4)/MAX(Setup!$B$4,1))*200)))</x:f>
      </x:c>
      <x:c r="N161" s="18" t="str">
        <x:f>IF(A161="","",(H161*Setup!$B$9)+(I161*Setup!$B$10)+(J161*Setup!$B$11)+(K161*Setup!$B$12))</x:f>
      </x:c>
      <x:c r="O161" s="18" t="str">
        <x:f>IF(A161="","",ROUND((0.4*M161)+(0.3*C161)+(0.3*D161)-N161,0))</x:f>
      </x:c>
      <x:c r="P161" s="18" t="str">
        <x:f>IF(A161="","",ROUND((F161*G161*Setup!$B$7)+(E161*Setup!$B$8),0))</x:f>
      </x:c>
      <x:c r="Q161" s="18" t="str">
        <x:f>IF(A161="","",ROUND(O161-(P161/2),0))</x:f>
      </x:c>
      <x:c r="R161" s="18" t="str">
        <x:f>IF(A161="","",IF(OR(O161&lt;Setup!$B$6,Q161&lt;0),"Recuperación activa / descanso",IF(O161&lt;Setup!$B$5,"Entrenamiento moderado","Entrena fuerte / alto rendimiento")))</x:f>
      </x:c>
      <x:c r="S161" s="18" t="str">
        <x:f>IF(A161="","",IF(OR(O161&lt;Setup!$B$6,Q161&lt;0),"Rojo",IF(O161&lt;Setup!$B$5,"Amarillo","Verde")))</x:f>
      </x:c>
    </x:row>
    <x:row r="162">
      <x:c r="A162" s="17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 t="str">
        <x:f>IF(B162="","",MIN(100,MAX(0,50+((B162-Setup!$B$4)/MAX(Setup!$B$4,1))*200)))</x:f>
      </x:c>
      <x:c r="N162" s="18" t="str">
        <x:f>IF(A162="","",(H162*Setup!$B$9)+(I162*Setup!$B$10)+(J162*Setup!$B$11)+(K162*Setup!$B$12))</x:f>
      </x:c>
      <x:c r="O162" s="18" t="str">
        <x:f>IF(A162="","",ROUND((0.4*M162)+(0.3*C162)+(0.3*D162)-N162,0))</x:f>
      </x:c>
      <x:c r="P162" s="18" t="str">
        <x:f>IF(A162="","",ROUND((F162*G162*Setup!$B$7)+(E162*Setup!$B$8),0))</x:f>
      </x:c>
      <x:c r="Q162" s="18" t="str">
        <x:f>IF(A162="","",ROUND(O162-(P162/2),0))</x:f>
      </x:c>
      <x:c r="R162" s="18" t="str">
        <x:f>IF(A162="","",IF(OR(O162&lt;Setup!$B$6,Q162&lt;0),"Recuperación activa / descanso",IF(O162&lt;Setup!$B$5,"Entrenamiento moderado","Entrena fuerte / alto rendimiento")))</x:f>
      </x:c>
      <x:c r="S162" s="18" t="str">
        <x:f>IF(A162="","",IF(OR(O162&lt;Setup!$B$6,Q162&lt;0),"Rojo",IF(O162&lt;Setup!$B$5,"Amarillo","Verde")))</x:f>
      </x:c>
    </x:row>
    <x:row r="163">
      <x:c r="A163" s="17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 t="str">
        <x:f>IF(B163="","",MIN(100,MAX(0,50+((B163-Setup!$B$4)/MAX(Setup!$B$4,1))*200)))</x:f>
      </x:c>
      <x:c r="N163" s="18" t="str">
        <x:f>IF(A163="","",(H163*Setup!$B$9)+(I163*Setup!$B$10)+(J163*Setup!$B$11)+(K163*Setup!$B$12))</x:f>
      </x:c>
      <x:c r="O163" s="18" t="str">
        <x:f>IF(A163="","",ROUND((0.4*M163)+(0.3*C163)+(0.3*D163)-N163,0))</x:f>
      </x:c>
      <x:c r="P163" s="18" t="str">
        <x:f>IF(A163="","",ROUND((F163*G163*Setup!$B$7)+(E163*Setup!$B$8),0))</x:f>
      </x:c>
      <x:c r="Q163" s="18" t="str">
        <x:f>IF(A163="","",ROUND(O163-(P163/2),0))</x:f>
      </x:c>
      <x:c r="R163" s="18" t="str">
        <x:f>IF(A163="","",IF(OR(O163&lt;Setup!$B$6,Q163&lt;0),"Recuperación activa / descanso",IF(O163&lt;Setup!$B$5,"Entrenamiento moderado","Entrena fuerte / alto rendimiento")))</x:f>
      </x:c>
      <x:c r="S163" s="18" t="str">
        <x:f>IF(A163="","",IF(OR(O163&lt;Setup!$B$6,Q163&lt;0),"Rojo",IF(O163&lt;Setup!$B$5,"Amarillo","Verde")))</x:f>
      </x:c>
    </x:row>
    <x:row r="164">
      <x:c r="A164" s="17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 t="str">
        <x:f>IF(B164="","",MIN(100,MAX(0,50+((B164-Setup!$B$4)/MAX(Setup!$B$4,1))*200)))</x:f>
      </x:c>
      <x:c r="N164" s="18" t="str">
        <x:f>IF(A164="","",(H164*Setup!$B$9)+(I164*Setup!$B$10)+(J164*Setup!$B$11)+(K164*Setup!$B$12))</x:f>
      </x:c>
      <x:c r="O164" s="18" t="str">
        <x:f>IF(A164="","",ROUND((0.4*M164)+(0.3*C164)+(0.3*D164)-N164,0))</x:f>
      </x:c>
      <x:c r="P164" s="18" t="str">
        <x:f>IF(A164="","",ROUND((F164*G164*Setup!$B$7)+(E164*Setup!$B$8),0))</x:f>
      </x:c>
      <x:c r="Q164" s="18" t="str">
        <x:f>IF(A164="","",ROUND(O164-(P164/2),0))</x:f>
      </x:c>
      <x:c r="R164" s="18" t="str">
        <x:f>IF(A164="","",IF(OR(O164&lt;Setup!$B$6,Q164&lt;0),"Recuperación activa / descanso",IF(O164&lt;Setup!$B$5,"Entrenamiento moderado","Entrena fuerte / alto rendimiento")))</x:f>
      </x:c>
      <x:c r="S164" s="18" t="str">
        <x:f>IF(A164="","",IF(OR(O164&lt;Setup!$B$6,Q164&lt;0),"Rojo",IF(O164&lt;Setup!$B$5,"Amarillo","Verde")))</x:f>
      </x:c>
    </x:row>
    <x:row r="165">
      <x:c r="A165" s="17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 t="str">
        <x:f>IF(B165="","",MIN(100,MAX(0,50+((B165-Setup!$B$4)/MAX(Setup!$B$4,1))*200)))</x:f>
      </x:c>
      <x:c r="N165" s="18" t="str">
        <x:f>IF(A165="","",(H165*Setup!$B$9)+(I165*Setup!$B$10)+(J165*Setup!$B$11)+(K165*Setup!$B$12))</x:f>
      </x:c>
      <x:c r="O165" s="18" t="str">
        <x:f>IF(A165="","",ROUND((0.4*M165)+(0.3*C165)+(0.3*D165)-N165,0))</x:f>
      </x:c>
      <x:c r="P165" s="18" t="str">
        <x:f>IF(A165="","",ROUND((F165*G165*Setup!$B$7)+(E165*Setup!$B$8),0))</x:f>
      </x:c>
      <x:c r="Q165" s="18" t="str">
        <x:f>IF(A165="","",ROUND(O165-(P165/2),0))</x:f>
      </x:c>
      <x:c r="R165" s="18" t="str">
        <x:f>IF(A165="","",IF(OR(O165&lt;Setup!$B$6,Q165&lt;0),"Recuperación activa / descanso",IF(O165&lt;Setup!$B$5,"Entrenamiento moderado","Entrena fuerte / alto rendimiento")))</x:f>
      </x:c>
      <x:c r="S165" s="18" t="str">
        <x:f>IF(A165="","",IF(OR(O165&lt;Setup!$B$6,Q165&lt;0),"Rojo",IF(O165&lt;Setup!$B$5,"Amarillo","Verde")))</x:f>
      </x:c>
    </x:row>
    <x:row r="166">
      <x:c r="A166" s="17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 t="str">
        <x:f>IF(B166="","",MIN(100,MAX(0,50+((B166-Setup!$B$4)/MAX(Setup!$B$4,1))*200)))</x:f>
      </x:c>
      <x:c r="N166" s="18" t="str">
        <x:f>IF(A166="","",(H166*Setup!$B$9)+(I166*Setup!$B$10)+(J166*Setup!$B$11)+(K166*Setup!$B$12))</x:f>
      </x:c>
      <x:c r="O166" s="18" t="str">
        <x:f>IF(A166="","",ROUND((0.4*M166)+(0.3*C166)+(0.3*D166)-N166,0))</x:f>
      </x:c>
      <x:c r="P166" s="18" t="str">
        <x:f>IF(A166="","",ROUND((F166*G166*Setup!$B$7)+(E166*Setup!$B$8),0))</x:f>
      </x:c>
      <x:c r="Q166" s="18" t="str">
        <x:f>IF(A166="","",ROUND(O166-(P166/2),0))</x:f>
      </x:c>
      <x:c r="R166" s="18" t="str">
        <x:f>IF(A166="","",IF(OR(O166&lt;Setup!$B$6,Q166&lt;0),"Recuperación activa / descanso",IF(O166&lt;Setup!$B$5,"Entrenamiento moderado","Entrena fuerte / alto rendimiento")))</x:f>
      </x:c>
      <x:c r="S166" s="18" t="str">
        <x:f>IF(A166="","",IF(OR(O166&lt;Setup!$B$6,Q166&lt;0),"Rojo",IF(O166&lt;Setup!$B$5,"Amarillo","Verde")))</x:f>
      </x:c>
    </x:row>
    <x:row r="167">
      <x:c r="A167" s="17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 t="str">
        <x:f>IF(B167="","",MIN(100,MAX(0,50+((B167-Setup!$B$4)/MAX(Setup!$B$4,1))*200)))</x:f>
      </x:c>
      <x:c r="N167" s="18" t="str">
        <x:f>IF(A167="","",(H167*Setup!$B$9)+(I167*Setup!$B$10)+(J167*Setup!$B$11)+(K167*Setup!$B$12))</x:f>
      </x:c>
      <x:c r="O167" s="18" t="str">
        <x:f>IF(A167="","",ROUND((0.4*M167)+(0.3*C167)+(0.3*D167)-N167,0))</x:f>
      </x:c>
      <x:c r="P167" s="18" t="str">
        <x:f>IF(A167="","",ROUND((F167*G167*Setup!$B$7)+(E167*Setup!$B$8),0))</x:f>
      </x:c>
      <x:c r="Q167" s="18" t="str">
        <x:f>IF(A167="","",ROUND(O167-(P167/2),0))</x:f>
      </x:c>
      <x:c r="R167" s="18" t="str">
        <x:f>IF(A167="","",IF(OR(O167&lt;Setup!$B$6,Q167&lt;0),"Recuperación activa / descanso",IF(O167&lt;Setup!$B$5,"Entrenamiento moderado","Entrena fuerte / alto rendimiento")))</x:f>
      </x:c>
      <x:c r="S167" s="18" t="str">
        <x:f>IF(A167="","",IF(OR(O167&lt;Setup!$B$6,Q167&lt;0),"Rojo",IF(O167&lt;Setup!$B$5,"Amarillo","Verde")))</x:f>
      </x:c>
    </x:row>
    <x:row r="168">
      <x:c r="A168" s="17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 t="str">
        <x:f>IF(B168="","",MIN(100,MAX(0,50+((B168-Setup!$B$4)/MAX(Setup!$B$4,1))*200)))</x:f>
      </x:c>
      <x:c r="N168" s="18" t="str">
        <x:f>IF(A168="","",(H168*Setup!$B$9)+(I168*Setup!$B$10)+(J168*Setup!$B$11)+(K168*Setup!$B$12))</x:f>
      </x:c>
      <x:c r="O168" s="18" t="str">
        <x:f>IF(A168="","",ROUND((0.4*M168)+(0.3*C168)+(0.3*D168)-N168,0))</x:f>
      </x:c>
      <x:c r="P168" s="18" t="str">
        <x:f>IF(A168="","",ROUND((F168*G168*Setup!$B$7)+(E168*Setup!$B$8),0))</x:f>
      </x:c>
      <x:c r="Q168" s="18" t="str">
        <x:f>IF(A168="","",ROUND(O168-(P168/2),0))</x:f>
      </x:c>
      <x:c r="R168" s="18" t="str">
        <x:f>IF(A168="","",IF(OR(O168&lt;Setup!$B$6,Q168&lt;0),"Recuperación activa / descanso",IF(O168&lt;Setup!$B$5,"Entrenamiento moderado","Entrena fuerte / alto rendimiento")))</x:f>
      </x:c>
      <x:c r="S168" s="18" t="str">
        <x:f>IF(A168="","",IF(OR(O168&lt;Setup!$B$6,Q168&lt;0),"Rojo",IF(O168&lt;Setup!$B$5,"Amarillo","Verde")))</x:f>
      </x:c>
    </x:row>
    <x:row r="169">
      <x:c r="A169" s="17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 t="str">
        <x:f>IF(B169="","",MIN(100,MAX(0,50+((B169-Setup!$B$4)/MAX(Setup!$B$4,1))*200)))</x:f>
      </x:c>
      <x:c r="N169" s="18" t="str">
        <x:f>IF(A169="","",(H169*Setup!$B$9)+(I169*Setup!$B$10)+(J169*Setup!$B$11)+(K169*Setup!$B$12))</x:f>
      </x:c>
      <x:c r="O169" s="18" t="str">
        <x:f>IF(A169="","",ROUND((0.4*M169)+(0.3*C169)+(0.3*D169)-N169,0))</x:f>
      </x:c>
      <x:c r="P169" s="18" t="str">
        <x:f>IF(A169="","",ROUND((F169*G169*Setup!$B$7)+(E169*Setup!$B$8),0))</x:f>
      </x:c>
      <x:c r="Q169" s="18" t="str">
        <x:f>IF(A169="","",ROUND(O169-(P169/2),0))</x:f>
      </x:c>
      <x:c r="R169" s="18" t="str">
        <x:f>IF(A169="","",IF(OR(O169&lt;Setup!$B$6,Q169&lt;0),"Recuperación activa / descanso",IF(O169&lt;Setup!$B$5,"Entrenamiento moderado","Entrena fuerte / alto rendimiento")))</x:f>
      </x:c>
      <x:c r="S169" s="18" t="str">
        <x:f>IF(A169="","",IF(OR(O169&lt;Setup!$B$6,Q169&lt;0),"Rojo",IF(O169&lt;Setup!$B$5,"Amarillo","Verde")))</x:f>
      </x:c>
    </x:row>
    <x:row r="170">
      <x:c r="A170" s="17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 t="str">
        <x:f>IF(B170="","",MIN(100,MAX(0,50+((B170-Setup!$B$4)/MAX(Setup!$B$4,1))*200)))</x:f>
      </x:c>
      <x:c r="N170" s="18" t="str">
        <x:f>IF(A170="","",(H170*Setup!$B$9)+(I170*Setup!$B$10)+(J170*Setup!$B$11)+(K170*Setup!$B$12))</x:f>
      </x:c>
      <x:c r="O170" s="18" t="str">
        <x:f>IF(A170="","",ROUND((0.4*M170)+(0.3*C170)+(0.3*D170)-N170,0))</x:f>
      </x:c>
      <x:c r="P170" s="18" t="str">
        <x:f>IF(A170="","",ROUND((F170*G170*Setup!$B$7)+(E170*Setup!$B$8),0))</x:f>
      </x:c>
      <x:c r="Q170" s="18" t="str">
        <x:f>IF(A170="","",ROUND(O170-(P170/2),0))</x:f>
      </x:c>
      <x:c r="R170" s="18" t="str">
        <x:f>IF(A170="","",IF(OR(O170&lt;Setup!$B$6,Q170&lt;0),"Recuperación activa / descanso",IF(O170&lt;Setup!$B$5,"Entrenamiento moderado","Entrena fuerte / alto rendimiento")))</x:f>
      </x:c>
      <x:c r="S170" s="18" t="str">
        <x:f>IF(A170="","",IF(OR(O170&lt;Setup!$B$6,Q170&lt;0),"Rojo",IF(O170&lt;Setup!$B$5,"Amarillo","Verde")))</x:f>
      </x:c>
    </x:row>
    <x:row r="171">
      <x:c r="A171" s="17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 t="str">
        <x:f>IF(B171="","",MIN(100,MAX(0,50+((B171-Setup!$B$4)/MAX(Setup!$B$4,1))*200)))</x:f>
      </x:c>
      <x:c r="N171" s="18" t="str">
        <x:f>IF(A171="","",(H171*Setup!$B$9)+(I171*Setup!$B$10)+(J171*Setup!$B$11)+(K171*Setup!$B$12))</x:f>
      </x:c>
      <x:c r="O171" s="18" t="str">
        <x:f>IF(A171="","",ROUND((0.4*M171)+(0.3*C171)+(0.3*D171)-N171,0))</x:f>
      </x:c>
      <x:c r="P171" s="18" t="str">
        <x:f>IF(A171="","",ROUND((F171*G171*Setup!$B$7)+(E171*Setup!$B$8),0))</x:f>
      </x:c>
      <x:c r="Q171" s="18" t="str">
        <x:f>IF(A171="","",ROUND(O171-(P171/2),0))</x:f>
      </x:c>
      <x:c r="R171" s="18" t="str">
        <x:f>IF(A171="","",IF(OR(O171&lt;Setup!$B$6,Q171&lt;0),"Recuperación activa / descanso",IF(O171&lt;Setup!$B$5,"Entrenamiento moderado","Entrena fuerte / alto rendimiento")))</x:f>
      </x:c>
      <x:c r="S171" s="18" t="str">
        <x:f>IF(A171="","",IF(OR(O171&lt;Setup!$B$6,Q171&lt;0),"Rojo",IF(O171&lt;Setup!$B$5,"Amarillo","Verde")))</x:f>
      </x:c>
    </x:row>
    <x:row r="172">
      <x:c r="A172" s="17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 t="str">
        <x:f>IF(B172="","",MIN(100,MAX(0,50+((B172-Setup!$B$4)/MAX(Setup!$B$4,1))*200)))</x:f>
      </x:c>
      <x:c r="N172" s="18" t="str">
        <x:f>IF(A172="","",(H172*Setup!$B$9)+(I172*Setup!$B$10)+(J172*Setup!$B$11)+(K172*Setup!$B$12))</x:f>
      </x:c>
      <x:c r="O172" s="18" t="str">
        <x:f>IF(A172="","",ROUND((0.4*M172)+(0.3*C172)+(0.3*D172)-N172,0))</x:f>
      </x:c>
      <x:c r="P172" s="18" t="str">
        <x:f>IF(A172="","",ROUND((F172*G172*Setup!$B$7)+(E172*Setup!$B$8),0))</x:f>
      </x:c>
      <x:c r="Q172" s="18" t="str">
        <x:f>IF(A172="","",ROUND(O172-(P172/2),0))</x:f>
      </x:c>
      <x:c r="R172" s="18" t="str">
        <x:f>IF(A172="","",IF(OR(O172&lt;Setup!$B$6,Q172&lt;0),"Recuperación activa / descanso",IF(O172&lt;Setup!$B$5,"Entrenamiento moderado","Entrena fuerte / alto rendimiento")))</x:f>
      </x:c>
      <x:c r="S172" s="18" t="str">
        <x:f>IF(A172="","",IF(OR(O172&lt;Setup!$B$6,Q172&lt;0),"Rojo",IF(O172&lt;Setup!$B$5,"Amarillo","Verde")))</x:f>
      </x:c>
    </x:row>
    <x:row r="173">
      <x:c r="A173" s="17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 t="str">
        <x:f>IF(B173="","",MIN(100,MAX(0,50+((B173-Setup!$B$4)/MAX(Setup!$B$4,1))*200)))</x:f>
      </x:c>
      <x:c r="N173" s="18" t="str">
        <x:f>IF(A173="","",(H173*Setup!$B$9)+(I173*Setup!$B$10)+(J173*Setup!$B$11)+(K173*Setup!$B$12))</x:f>
      </x:c>
      <x:c r="O173" s="18" t="str">
        <x:f>IF(A173="","",ROUND((0.4*M173)+(0.3*C173)+(0.3*D173)-N173,0))</x:f>
      </x:c>
      <x:c r="P173" s="18" t="str">
        <x:f>IF(A173="","",ROUND((F173*G173*Setup!$B$7)+(E173*Setup!$B$8),0))</x:f>
      </x:c>
      <x:c r="Q173" s="18" t="str">
        <x:f>IF(A173="","",ROUND(O173-(P173/2),0))</x:f>
      </x:c>
      <x:c r="R173" s="18" t="str">
        <x:f>IF(A173="","",IF(OR(O173&lt;Setup!$B$6,Q173&lt;0),"Recuperación activa / descanso",IF(O173&lt;Setup!$B$5,"Entrenamiento moderado","Entrena fuerte / alto rendimiento")))</x:f>
      </x:c>
      <x:c r="S173" s="18" t="str">
        <x:f>IF(A173="","",IF(OR(O173&lt;Setup!$B$6,Q173&lt;0),"Rojo",IF(O173&lt;Setup!$B$5,"Amarillo","Verde")))</x:f>
      </x:c>
    </x:row>
    <x:row r="174">
      <x:c r="A174" s="17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 t="str">
        <x:f>IF(B174="","",MIN(100,MAX(0,50+((B174-Setup!$B$4)/MAX(Setup!$B$4,1))*200)))</x:f>
      </x:c>
      <x:c r="N174" s="18" t="str">
        <x:f>IF(A174="","",(H174*Setup!$B$9)+(I174*Setup!$B$10)+(J174*Setup!$B$11)+(K174*Setup!$B$12))</x:f>
      </x:c>
      <x:c r="O174" s="18" t="str">
        <x:f>IF(A174="","",ROUND((0.4*M174)+(0.3*C174)+(0.3*D174)-N174,0))</x:f>
      </x:c>
      <x:c r="P174" s="18" t="str">
        <x:f>IF(A174="","",ROUND((F174*G174*Setup!$B$7)+(E174*Setup!$B$8),0))</x:f>
      </x:c>
      <x:c r="Q174" s="18" t="str">
        <x:f>IF(A174="","",ROUND(O174-(P174/2),0))</x:f>
      </x:c>
      <x:c r="R174" s="18" t="str">
        <x:f>IF(A174="","",IF(OR(O174&lt;Setup!$B$6,Q174&lt;0),"Recuperación activa / descanso",IF(O174&lt;Setup!$B$5,"Entrenamiento moderado","Entrena fuerte / alto rendimiento")))</x:f>
      </x:c>
      <x:c r="S174" s="18" t="str">
        <x:f>IF(A174="","",IF(OR(O174&lt;Setup!$B$6,Q174&lt;0),"Rojo",IF(O174&lt;Setup!$B$5,"Amarillo","Verde")))</x:f>
      </x:c>
    </x:row>
    <x:row r="175">
      <x:c r="A175" s="17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 t="str">
        <x:f>IF(B175="","",MIN(100,MAX(0,50+((B175-Setup!$B$4)/MAX(Setup!$B$4,1))*200)))</x:f>
      </x:c>
      <x:c r="N175" s="18" t="str">
        <x:f>IF(A175="","",(H175*Setup!$B$9)+(I175*Setup!$B$10)+(J175*Setup!$B$11)+(K175*Setup!$B$12))</x:f>
      </x:c>
      <x:c r="O175" s="18" t="str">
        <x:f>IF(A175="","",ROUND((0.4*M175)+(0.3*C175)+(0.3*D175)-N175,0))</x:f>
      </x:c>
      <x:c r="P175" s="18" t="str">
        <x:f>IF(A175="","",ROUND((F175*G175*Setup!$B$7)+(E175*Setup!$B$8),0))</x:f>
      </x:c>
      <x:c r="Q175" s="18" t="str">
        <x:f>IF(A175="","",ROUND(O175-(P175/2),0))</x:f>
      </x:c>
      <x:c r="R175" s="18" t="str">
        <x:f>IF(A175="","",IF(OR(O175&lt;Setup!$B$6,Q175&lt;0),"Recuperación activa / descanso",IF(O175&lt;Setup!$B$5,"Entrenamiento moderado","Entrena fuerte / alto rendimiento")))</x:f>
      </x:c>
      <x:c r="S175" s="18" t="str">
        <x:f>IF(A175="","",IF(OR(O175&lt;Setup!$B$6,Q175&lt;0),"Rojo",IF(O175&lt;Setup!$B$5,"Amarillo","Verde")))</x:f>
      </x:c>
    </x:row>
    <x:row r="176">
      <x:c r="A176" s="17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 t="str">
        <x:f>IF(B176="","",MIN(100,MAX(0,50+((B176-Setup!$B$4)/MAX(Setup!$B$4,1))*200)))</x:f>
      </x:c>
      <x:c r="N176" s="18" t="str">
        <x:f>IF(A176="","",(H176*Setup!$B$9)+(I176*Setup!$B$10)+(J176*Setup!$B$11)+(K176*Setup!$B$12))</x:f>
      </x:c>
      <x:c r="O176" s="18" t="str">
        <x:f>IF(A176="","",ROUND((0.4*M176)+(0.3*C176)+(0.3*D176)-N176,0))</x:f>
      </x:c>
      <x:c r="P176" s="18" t="str">
        <x:f>IF(A176="","",ROUND((F176*G176*Setup!$B$7)+(E176*Setup!$B$8),0))</x:f>
      </x:c>
      <x:c r="Q176" s="18" t="str">
        <x:f>IF(A176="","",ROUND(O176-(P176/2),0))</x:f>
      </x:c>
      <x:c r="R176" s="18" t="str">
        <x:f>IF(A176="","",IF(OR(O176&lt;Setup!$B$6,Q176&lt;0),"Recuperación activa / descanso",IF(O176&lt;Setup!$B$5,"Entrenamiento moderado","Entrena fuerte / alto rendimiento")))</x:f>
      </x:c>
      <x:c r="S176" s="18" t="str">
        <x:f>IF(A176="","",IF(OR(O176&lt;Setup!$B$6,Q176&lt;0),"Rojo",IF(O176&lt;Setup!$B$5,"Amarillo","Verde")))</x:f>
      </x:c>
    </x:row>
    <x:row r="177">
      <x:c r="A177" s="17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 t="str">
        <x:f>IF(B177="","",MIN(100,MAX(0,50+((B177-Setup!$B$4)/MAX(Setup!$B$4,1))*200)))</x:f>
      </x:c>
      <x:c r="N177" s="18" t="str">
        <x:f>IF(A177="","",(H177*Setup!$B$9)+(I177*Setup!$B$10)+(J177*Setup!$B$11)+(K177*Setup!$B$12))</x:f>
      </x:c>
      <x:c r="O177" s="18" t="str">
        <x:f>IF(A177="","",ROUND((0.4*M177)+(0.3*C177)+(0.3*D177)-N177,0))</x:f>
      </x:c>
      <x:c r="P177" s="18" t="str">
        <x:f>IF(A177="","",ROUND((F177*G177*Setup!$B$7)+(E177*Setup!$B$8),0))</x:f>
      </x:c>
      <x:c r="Q177" s="18" t="str">
        <x:f>IF(A177="","",ROUND(O177-(P177/2),0))</x:f>
      </x:c>
      <x:c r="R177" s="18" t="str">
        <x:f>IF(A177="","",IF(OR(O177&lt;Setup!$B$6,Q177&lt;0),"Recuperación activa / descanso",IF(O177&lt;Setup!$B$5,"Entrenamiento moderado","Entrena fuerte / alto rendimiento")))</x:f>
      </x:c>
      <x:c r="S177" s="18" t="str">
        <x:f>IF(A177="","",IF(OR(O177&lt;Setup!$B$6,Q177&lt;0),"Rojo",IF(O177&lt;Setup!$B$5,"Amarillo","Verde")))</x:f>
      </x:c>
    </x:row>
    <x:row r="178">
      <x:c r="A178" s="17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 t="str">
        <x:f>IF(B178="","",MIN(100,MAX(0,50+((B178-Setup!$B$4)/MAX(Setup!$B$4,1))*200)))</x:f>
      </x:c>
      <x:c r="N178" s="18" t="str">
        <x:f>IF(A178="","",(H178*Setup!$B$9)+(I178*Setup!$B$10)+(J178*Setup!$B$11)+(K178*Setup!$B$12))</x:f>
      </x:c>
      <x:c r="O178" s="18" t="str">
        <x:f>IF(A178="","",ROUND((0.4*M178)+(0.3*C178)+(0.3*D178)-N178,0))</x:f>
      </x:c>
      <x:c r="P178" s="18" t="str">
        <x:f>IF(A178="","",ROUND((F178*G178*Setup!$B$7)+(E178*Setup!$B$8),0))</x:f>
      </x:c>
      <x:c r="Q178" s="18" t="str">
        <x:f>IF(A178="","",ROUND(O178-(P178/2),0))</x:f>
      </x:c>
      <x:c r="R178" s="18" t="str">
        <x:f>IF(A178="","",IF(OR(O178&lt;Setup!$B$6,Q178&lt;0),"Recuperación activa / descanso",IF(O178&lt;Setup!$B$5,"Entrenamiento moderado","Entrena fuerte / alto rendimiento")))</x:f>
      </x:c>
      <x:c r="S178" s="18" t="str">
        <x:f>IF(A178="","",IF(OR(O178&lt;Setup!$B$6,Q178&lt;0),"Rojo",IF(O178&lt;Setup!$B$5,"Amarillo","Verde")))</x:f>
      </x:c>
    </x:row>
    <x:row r="179">
      <x:c r="A179" s="17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 t="str">
        <x:f>IF(B179="","",MIN(100,MAX(0,50+((B179-Setup!$B$4)/MAX(Setup!$B$4,1))*200)))</x:f>
      </x:c>
      <x:c r="N179" s="18" t="str">
        <x:f>IF(A179="","",(H179*Setup!$B$9)+(I179*Setup!$B$10)+(J179*Setup!$B$11)+(K179*Setup!$B$12))</x:f>
      </x:c>
      <x:c r="O179" s="18" t="str">
        <x:f>IF(A179="","",ROUND((0.4*M179)+(0.3*C179)+(0.3*D179)-N179,0))</x:f>
      </x:c>
      <x:c r="P179" s="18" t="str">
        <x:f>IF(A179="","",ROUND((F179*G179*Setup!$B$7)+(E179*Setup!$B$8),0))</x:f>
      </x:c>
      <x:c r="Q179" s="18" t="str">
        <x:f>IF(A179="","",ROUND(O179-(P179/2),0))</x:f>
      </x:c>
      <x:c r="R179" s="18" t="str">
        <x:f>IF(A179="","",IF(OR(O179&lt;Setup!$B$6,Q179&lt;0),"Recuperación activa / descanso",IF(O179&lt;Setup!$B$5,"Entrenamiento moderado","Entrena fuerte / alto rendimiento")))</x:f>
      </x:c>
      <x:c r="S179" s="18" t="str">
        <x:f>IF(A179="","",IF(OR(O179&lt;Setup!$B$6,Q179&lt;0),"Rojo",IF(O179&lt;Setup!$B$5,"Amarillo","Verde")))</x:f>
      </x:c>
    </x:row>
    <x:row r="180">
      <x:c r="A180" s="17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 t="str">
        <x:f>IF(B180="","",MIN(100,MAX(0,50+((B180-Setup!$B$4)/MAX(Setup!$B$4,1))*200)))</x:f>
      </x:c>
      <x:c r="N180" s="18" t="str">
        <x:f>IF(A180="","",(H180*Setup!$B$9)+(I180*Setup!$B$10)+(J180*Setup!$B$11)+(K180*Setup!$B$12))</x:f>
      </x:c>
      <x:c r="O180" s="18" t="str">
        <x:f>IF(A180="","",ROUND((0.4*M180)+(0.3*C180)+(0.3*D180)-N180,0))</x:f>
      </x:c>
      <x:c r="P180" s="18" t="str">
        <x:f>IF(A180="","",ROUND((F180*G180*Setup!$B$7)+(E180*Setup!$B$8),0))</x:f>
      </x:c>
      <x:c r="Q180" s="18" t="str">
        <x:f>IF(A180="","",ROUND(O180-(P180/2),0))</x:f>
      </x:c>
      <x:c r="R180" s="18" t="str">
        <x:f>IF(A180="","",IF(OR(O180&lt;Setup!$B$6,Q180&lt;0),"Recuperación activa / descanso",IF(O180&lt;Setup!$B$5,"Entrenamiento moderado","Entrena fuerte / alto rendimiento")))</x:f>
      </x:c>
      <x:c r="S180" s="18" t="str">
        <x:f>IF(A180="","",IF(OR(O180&lt;Setup!$B$6,Q180&lt;0),"Rojo",IF(O180&lt;Setup!$B$5,"Amarillo","Verde")))</x:f>
      </x:c>
    </x:row>
    <x:row r="181">
      <x:c r="A181" s="17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 t="str">
        <x:f>IF(B181="","",MIN(100,MAX(0,50+((B181-Setup!$B$4)/MAX(Setup!$B$4,1))*200)))</x:f>
      </x:c>
      <x:c r="N181" s="18" t="str">
        <x:f>IF(A181="","",(H181*Setup!$B$9)+(I181*Setup!$B$10)+(J181*Setup!$B$11)+(K181*Setup!$B$12))</x:f>
      </x:c>
      <x:c r="O181" s="18" t="str">
        <x:f>IF(A181="","",ROUND((0.4*M181)+(0.3*C181)+(0.3*D181)-N181,0))</x:f>
      </x:c>
      <x:c r="P181" s="18" t="str">
        <x:f>IF(A181="","",ROUND((F181*G181*Setup!$B$7)+(E181*Setup!$B$8),0))</x:f>
      </x:c>
      <x:c r="Q181" s="18" t="str">
        <x:f>IF(A181="","",ROUND(O181-(P181/2),0))</x:f>
      </x:c>
      <x:c r="R181" s="18" t="str">
        <x:f>IF(A181="","",IF(OR(O181&lt;Setup!$B$6,Q181&lt;0),"Recuperación activa / descanso",IF(O181&lt;Setup!$B$5,"Entrenamiento moderado","Entrena fuerte / alto rendimiento")))</x:f>
      </x:c>
      <x:c r="S181" s="18" t="str">
        <x:f>IF(A181="","",IF(OR(O181&lt;Setup!$B$6,Q181&lt;0),"Rojo",IF(O181&lt;Setup!$B$5,"Amarillo","Verde")))</x:f>
      </x:c>
    </x:row>
  </x:sheetData>
  <x:conditionalFormatting sqref="O2:O181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P2:P181">
    <x:cfRule type="dataBar" priority="2">
      <x:dataBar>
        <x:cfvo type="min"/>
        <x:cfvo type="max"/>
        <x:color rgb="FFA02B93"/>
      </x:dataBar>
    </x:cfRule>
  </x:conditionalFormatting>
  <x:conditionalFormatting sqref="Q2:Q181">
    <x:cfRule type="dataBar" priority="3">
      <x:dataBar>
        <x:cfvo type="min"/>
        <x:cfvo type="max"/>
        <x:color rgb="FF156082"/>
      </x:dataBar>
    </x:cfRule>
  </x:conditionalFormatting>
  <x:conditionalFormatting sqref="S2:S181">
    <x:cfRule type="expression" dxfId="2" priority="4">
      <x:formula>$S2="Rojo"</x:formula>
    </x:cfRule>
    <x:cfRule type="expression" dxfId="3" priority="5">
      <x:formula>$S2="Amarillo"</x:formula>
    </x:cfRule>
    <x:cfRule type="expression" dxfId="4" priority="6">
      <x:formula>$S2="Verde"</x:formula>
    </x:cfRule>
  </x:conditionalFormatting>
  <x:dataValidations count="10">
    <x:dataValidation type="whole" errorStyle="warning" operator="between" allowBlank="1" showErrorMessage="1" errorTitle="Valor inválido" error="Usa un valor entre 0 y 100." sqref="B2:B181">
      <x:formula1>0</x:formula1>
      <x:formula2>100</x:formula2>
    </x:dataValidation>
    <x:dataValidation type="whole" errorStyle="warning" operator="between" allowBlank="1" showErrorMessage="1" errorTitle="Valor inválido" error="Usa un valor entre 0 y 100." sqref="C2:C181">
      <x:formula1>0</x:formula1>
      <x:formula2>100</x:formula2>
    </x:dataValidation>
    <x:dataValidation type="whole" errorStyle="warning" operator="between" allowBlank="1" showErrorMessage="1" errorTitle="Valor inválido" error="Usa un valor entre 0 y 100." sqref="D2:D181">
      <x:formula1>0</x:formula1>
      <x:formula2>100</x:formula2>
    </x:dataValidation>
    <x:dataValidation type="whole" errorStyle="warning" operator="between" allowBlank="1" showErrorMessage="1" errorTitle="Valor inválido" error="Usa un valor entre 0 y 100." sqref="E2:E181">
      <x:formula1>0</x:formula1>
      <x:formula2>100</x:formula2>
    </x:dataValidation>
    <x:dataValidation type="whole" errorStyle="warning" operator="between" allowBlank="1" showErrorMessage="1" errorTitle="Minutos inválidos" error="Usa entre 0 y 300 minutos." sqref="F2:F181">
      <x:formula1>0</x:formula1>
      <x:formula2>300</x:formula2>
    </x:dataValidation>
    <x:dataValidation type="list" allowBlank="1" showDropDown="0" sqref="G2:G181">
      <x:formula1>"0,1,2,3"</x:formula1>
    </x:dataValidation>
    <x:dataValidation type="list" allowBlank="1" showDropDown="0" sqref="H2:H181">
      <x:formula1>"0,1"</x:formula1>
    </x:dataValidation>
    <x:dataValidation type="list" allowBlank="1" showDropDown="0" sqref="I2:I181">
      <x:formula1>"0,1"</x:formula1>
    </x:dataValidation>
    <x:dataValidation type="list" allowBlank="1" showDropDown="0" sqref="J2:J181">
      <x:formula1>"0,1"</x:formula1>
    </x:dataValidation>
    <x:dataValidation type="list" allowBlank="1" showDropDown="0" sqref="K2:K18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a05d5f5b7a43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12" hidden="0" customWidth="1"/>
    <x:col min="5" max="5" width="20" hidden="0" customWidth="1"/>
    <x:col min="6" max="6" width="16" hidden="0" customWidth="1"/>
    <x:col min="7" max="7" width="14" hidden="0" customWidth="1"/>
  </x:cols>
  <x:sheetData>
    <x:row r="1" ht="26" customHeight="1">
      <x:c r="A1" s="32" t="str">
        <x:v>Dashboard diario tipo Whoop usando Garmin Venu 3</x:v>
      </x:c>
      <x:c r="B1" s="3"/>
      <x:c r="C1" s="3"/>
      <x:c r="D1" s="3"/>
      <x:c r="E1" s="3"/>
      <x:c r="F1" s="3"/>
      <x:c r="G1" s="3"/>
    </x:row>
    <x:row r="3" ht="22" customHeight="1">
      <x:c r="A3" s="33" t="str">
        <x:v>Estado actual</x:v>
      </x:c>
      <x:c r="B3" s="11"/>
      <x:c r="C3" s="11"/>
      <x:c r="E3" s="33" t="str">
        <x:v>Promedios</x:v>
      </x:c>
      <x:c r="F3" s="11"/>
      <x:c r="G3" s="11"/>
    </x:row>
    <x:row r="4" ht="17.08984375" hidden="0" customHeight="1">
      <x:c r="A4" s="26" t="str">
        <x:v>Última fila con datos</x:v>
      </x:c>
      <x:c r="B4" s="26" t="str"/>
      <x:c r="C4" s="28" t="n">
        <x:f>MAX(2,COUNTA(Daily_Log!A:A))</x:f>
        <x:v>15</x:v>
      </x:c>
      <x:c r="D4" s="26"/>
      <x:c r="E4" s="26" t="str">
        <x:v>Días registrados</x:v>
      </x:c>
      <x:c r="F4" s="26" t="str"/>
      <x:c r="G4" s="28" t="n">
        <x:f>COUNTA(Daily_Log!A:A)-1</x:f>
        <x:v>14</x:v>
      </x:c>
    </x:row>
    <x:row r="5" ht="17.08984375" hidden="0" customHeight="1">
      <x:c r="A5" s="26" t="str">
        <x:v>Última fecha</x:v>
      </x:c>
      <x:c r="B5" s="26" t="str"/>
      <x:c r="C5" s="28" t="str">
        <x:f>INDEX(Daily_Log!A:A,C4)</x:f>
        <x:v>2026-04-14</x:v>
      </x:c>
      <x:c r="D5" s="26"/>
      <x:c r="E5" s="26" t="str">
        <x:v>Recovery promedio</x:v>
      </x:c>
      <x:c r="F5" s="26" t="str"/>
      <x:c r="G5" s="28" t="n">
        <x:f>ROUND(AVERAGE(Daily_Log!O2:O181),0)</x:f>
        <x:v>58</x:v>
      </x:c>
    </x:row>
    <x:row r="6" ht="17.08984375" hidden="0" customHeight="1">
      <x:c r="A6" s="26" t="str">
        <x:v>Recovery score</x:v>
      </x:c>
      <x:c r="B6" s="26" t="str"/>
      <x:c r="C6" s="28" t="n">
        <x:f>INDEX(Daily_Log!O:O,C4)</x:f>
        <x:v>82</x:v>
      </x:c>
      <x:c r="D6" s="26"/>
      <x:c r="E6" s="26" t="str">
        <x:v>Strain promedio</x:v>
      </x:c>
      <x:c r="F6" s="26" t="str"/>
      <x:c r="G6" s="28" t="n">
        <x:f>ROUND(AVERAGE(Daily_Log!P2:P181),0)</x:f>
        <x:v>71</x:v>
      </x:c>
    </x:row>
    <x:row r="7" ht="17.08984375" hidden="0" customHeight="1">
      <x:c r="A7" s="26" t="str">
        <x:v>Strain score</x:v>
      </x:c>
      <x:c r="B7" s="26" t="str"/>
      <x:c r="C7" s="28" t="n">
        <x:f>INDEX(Daily_Log!P:P,C4)</x:f>
        <x:v>101</x:v>
      </x:c>
      <x:c r="D7" s="26"/>
      <x:c r="E7" s="26" t="str">
        <x:v>Balance promedio</x:v>
      </x:c>
      <x:c r="F7" s="26" t="str"/>
      <x:c r="G7" s="28" t="n">
        <x:f>ROUND(AVERAGE(Daily_Log!Q2:Q181),0)</x:f>
        <x:v>23</x:v>
      </x:c>
    </x:row>
    <x:row r="8" ht="17.08984375" hidden="0" customHeight="1">
      <x:c r="A8" s="26" t="str">
        <x:v>Balance</x:v>
      </x:c>
      <x:c r="B8" s="26" t="str"/>
      <x:c r="C8" s="28" t="n">
        <x:f>INDEX(Daily_Log!Q:Q,C4)</x:f>
        <x:v>32</x:v>
      </x:c>
      <x:c r="D8" s="26"/>
      <x:c r="E8" s="26" t="str">
        <x:v>Sleep promedio</x:v>
      </x:c>
      <x:c r="F8" s="26" t="str"/>
      <x:c r="G8" s="28" t="n">
        <x:f>ROUND(AVERAGE(Daily_Log!D2:D181),0)</x:f>
        <x:v>73</x:v>
      </x:c>
    </x:row>
    <x:row r="9" ht="17.08984375" hidden="0" customHeight="1">
      <x:c r="A9" s="26" t="str">
        <x:v>Color del día</x:v>
      </x:c>
      <x:c r="B9" s="26" t="str"/>
      <x:c r="C9" s="28" t="str">
        <x:f>INDEX(Daily_Log!S:S,C4)</x:f>
        <x:v>Verde</x:v>
      </x:c>
      <x:c r="D9" s="26"/>
      <x:c r="E9" s="26" t="str">
        <x:v>Body Battery promedio</x:v>
      </x:c>
      <x:c r="F9" s="26" t="str"/>
      <x:c r="G9" s="28" t="n">
        <x:f>ROUND(AVERAGE(Daily_Log!C2:C181),0)</x:f>
        <x:v>65</x:v>
      </x:c>
    </x:row>
    <x:row r="10" ht="17.08984375" hidden="0" customHeight="1">
      <x:c r="A10" s="26" t="str">
        <x:v>Recomendación</x:v>
      </x:c>
      <x:c r="B10" s="26" t="str"/>
      <x:c r="C10" s="28" t="str">
        <x:f>INDEX(Daily_Log!R:R,C4)</x:f>
        <x:v>Entrena fuerte / alto rendimiento</x:v>
      </x:c>
      <x:c r="D10" s="26"/>
      <x:c r="E10" s="26" t="str">
        <x:v>Baseline HRV</x:v>
      </x:c>
      <x:c r="F10" s="26" t="str"/>
      <x:c r="G10" s="28" t="n">
        <x:f>Setup!B4</x:f>
        <x:v>52</x:v>
      </x:c>
    </x:row>
    <x:row r="11" ht="17.08984375" hidden="0" customHeight="1">
      <x:c r="A11" s="26"/>
      <x:c r="B11" s="26"/>
      <x:c r="C11" s="26"/>
      <x:c r="D11" s="26"/>
      <x:c r="E11" s="26"/>
      <x:c r="F11" s="26"/>
      <x:c r="G11" s="26"/>
    </x:row>
    <x:row r="12" ht="22" hidden="0" customHeight="1">
      <x:c r="A12" s="34" t="str">
        <x:v>Recomendación del día</x:v>
      </x:c>
      <x:c r="B12" s="27"/>
      <x:c r="C12" s="27"/>
      <x:c r="D12" s="27"/>
      <x:c r="E12" s="27"/>
      <x:c r="F12" s="27"/>
      <x:c r="G12" s="27"/>
    </x:row>
    <x:row r="13" ht="48" hidden="0" customHeight="1">
      <x:c r="A13" s="31" t="str">
        <x:f>C10</x:f>
        <x:v>Entrena fuerte / alto rendimiento</x:v>
      </x:c>
      <x:c r="B13" s="30"/>
      <x:c r="C13" s="30"/>
      <x:c r="D13" s="30"/>
      <x:c r="E13" s="30"/>
      <x:c r="F13" s="30"/>
      <x:c r="G13" s="30"/>
    </x:row>
    <x:row r="14" ht="17.08984375" hidden="0" customHeight="1">
      <x:c r="A14" s="30"/>
      <x:c r="B14" s="30"/>
      <x:c r="C14" s="30"/>
      <x:c r="D14" s="30"/>
      <x:c r="E14" s="30"/>
      <x:c r="F14" s="30"/>
      <x:c r="G14" s="30"/>
    </x:row>
    <x:row r="15" ht="17.08984375" hidden="0" customHeight="1">
      <x:c r="A15" s="30"/>
      <x:c r="B15" s="30"/>
      <x:c r="C15" s="30"/>
      <x:c r="D15" s="30"/>
      <x:c r="E15" s="30"/>
      <x:c r="F15" s="30"/>
      <x:c r="G15" s="30"/>
    </x:row>
    <x:row r="16" ht="17.08984375" hidden="0" customHeight="1">
      <x:c r="A16" s="30"/>
      <x:c r="B16" s="30"/>
      <x:c r="C16" s="30"/>
      <x:c r="D16" s="30"/>
      <x:c r="E16" s="30"/>
      <x:c r="F16" s="30"/>
      <x:c r="G16" s="30"/>
    </x:row>
    <x:row r="17" ht="17.08984375" hidden="0" customHeight="1">
      <x:c r="A17" s="26"/>
      <x:c r="B17" s="26"/>
      <x:c r="C17" s="26"/>
      <x:c r="D17" s="26"/>
      <x:c r="E17" s="26"/>
      <x:c r="F17" s="26"/>
      <x:c r="G17" s="26"/>
    </x:row>
    <x:row r="18" ht="17.08984375" hidden="0" customHeight="1">
      <x:c r="A18" s="26"/>
      <x:c r="B18" s="26"/>
      <x:c r="C18" s="26"/>
      <x:c r="D18" s="26"/>
      <x:c r="E18" s="26"/>
      <x:c r="F18" s="26"/>
      <x:c r="G18" s="26"/>
    </x:row>
    <x:row r="19" ht="22" hidden="0" customHeight="1">
      <x:c r="A19" s="34" t="str">
        <x:v>Frecuencia recomendada</x:v>
      </x:c>
      <x:c r="B19" s="27"/>
      <x:c r="C19" s="27"/>
      <x:c r="D19" s="27"/>
      <x:c r="E19" s="27"/>
      <x:c r="F19" s="27"/>
      <x:c r="G19" s="27"/>
    </x:row>
    <x:row r="20" ht="17.08984375" hidden="0" customHeight="1">
      <x:c r="A20" s="25" t="str">
        <x:v>Momento</x:v>
      </x:c>
      <x:c r="B20" s="25" t="str">
        <x:v>Qué llenar</x:v>
      </x:c>
      <x:c r="C20" s="25" t="str">
        <x:v>Frecuencia</x:v>
      </x:c>
      <x:c r="D20" s="25" t="str">
        <x:v>Objetivo</x:v>
      </x:c>
      <x:c r="E20" s="26"/>
      <x:c r="F20" s="26"/>
      <x:c r="G20" s="26"/>
    </x:row>
    <x:row r="21" ht="68.359375" hidden="0" customHeight="1">
      <x:c r="A21" s="12" t="str">
        <x:v>Mañana</x:v>
      </x:c>
      <x:c r="B21" s="12" t="str">
        <x:v>Date + HRV + Body Battery AM + Sleep Score</x:v>
      </x:c>
      <x:c r="C21" s="12" t="str">
        <x:v>Diario</x:v>
      </x:c>
      <x:c r="D21" s="12" t="str">
        <x:v>Recovery</x:v>
      </x:c>
      <x:c r="E21" s="26"/>
      <x:c r="F21" s="26"/>
      <x:c r="G21" s="26"/>
    </x:row>
    <x:row r="22" ht="68.359375" hidden="0" customHeight="1">
      <x:c r="A22" s="12" t="str">
        <x:v>Noche</x:v>
      </x:c>
      <x:c r="B22" s="12" t="str">
        <x:v>Stress Avg + Workout + Intensity + hábitos</x:v>
      </x:c>
      <x:c r="C22" s="12" t="str">
        <x:v>Diario</x:v>
      </x:c>
      <x:c r="D22" s="12" t="str">
        <x:v>Strain</x:v>
      </x:c>
      <x:c r="E22" s="26"/>
      <x:c r="F22" s="26"/>
      <x:c r="G22" s="26"/>
    </x:row>
    <x:row r="23" ht="34.1796875" hidden="0" customHeight="1">
      <x:c r="A23" s="12" t="str">
        <x:v>Revisión</x:v>
      </x:c>
      <x:c r="B23" s="12" t="str">
        <x:v>Ajustar Baseline HRV</x:v>
      </x:c>
      <x:c r="C23" s="12" t="str">
        <x:v>Cada 2–3 semanas</x:v>
      </x:c>
      <x:c r="D23" s="12" t="str">
        <x:v>Calibrar</x:v>
      </x:c>
      <x:c r="E23" s="26"/>
      <x:c r="F23" s="26"/>
      <x:c r="G23" s="26"/>
    </x:row>
    <x:row r="24" ht="51.26953125" hidden="0" customHeight="1">
      <x:c r="A24" s="12" t="str">
        <x:v>Power BI</x:v>
      </x:c>
      <x:c r="B24" s="12" t="str">
        <x:v>Refrescar y revisar tendencias</x:v>
      </x:c>
      <x:c r="C24" s="12" t="str">
        <x:v>Semanal</x:v>
      </x:c>
      <x:c r="D24" s="12" t="str">
        <x:v>Decisión</x:v>
      </x:c>
      <x:c r="E24" s="26"/>
      <x:c r="F24" s="26"/>
      <x:c r="G24" s="26"/>
    </x:row>
  </x:sheetData>
  <x:mergeCells>
    <x:mergeCell ref="A1:G1"/>
    <x:mergeCell ref="A3:C3"/>
    <x:mergeCell ref="E3:G3"/>
    <x:mergeCell ref="A12:G12"/>
    <x:mergeCell ref="A19:G19"/>
    <x:mergeCell ref="A13:G16"/>
  </x:mergeCells>
  <x:conditionalFormatting sqref="A13:G16">
    <x:cfRule type="expression" dxfId="5" priority="1">
      <x:formula>$A$13="Recuperación activa / descanso"</x:formula>
    </x:cfRule>
    <x:cfRule type="expression" dxfId="6" priority="2">
      <x:formula>$A$13="Entrenamiento moderado"</x:formula>
    </x:cfRule>
    <x:cfRule type="expression" dxfId="7" priority="3">
      <x:formula>$A$13="Entrena fuerte / alto rendimiento"</x:formula>
    </x:cfRule>
  </x:conditionalFormatting>
  <x:conditionalFormatting sqref="A13:A13">
    <x:cfRule type="expression" dxfId="10" priority="7">
      <x:formula>$A$13="Recuperación activa / descanso"</x:formula>
    </x:cfRule>
    <x:cfRule type="expression" dxfId="11" priority="8">
      <x:formula>$A$13="Entrenamiento moderado"</x:formula>
    </x:cfRule>
    <x:cfRule type="expression" dxfId="12" priority="9">
      <x:formula>$A$13="Entrena fuerte / alto rendimiento"</x:formula>
    </x:cfRule>
  </x:conditionalFormatting>
  <x:conditionalFormatting sqref="C6:C8">
    <x:cfRule type="colorScale" priority="10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C9:C9">
    <x:cfRule type="expression" dxfId="13" priority="11">
      <x:formula>$C$9&lt;0</x:formula>
    </x:cfRule>
    <x:cfRule type="expression" dxfId="14" priority="12">
      <x:formula>$C$9&gt;=0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  <x:col min="3" max="3" width="28" hidden="0" customWidth="1"/>
  </x:cols>
  <x:sheetData>
    <x:row r="1">
      <x:c r="A1" s="24" t="str">
        <x:v>Medidas DAX sugeridas para Power BI</x:v>
      </x:c>
      <x:c r="B1" s="24"/>
      <x:c r="C1" s="24"/>
    </x:row>
    <x:row r="3" ht="17.08984375" hidden="0" customHeight="1">
      <x:c r="A3" s="27" t="str">
        <x:v>Measure</x:v>
      </x:c>
      <x:c r="B3" s="27" t="str">
        <x:v>DAX</x:v>
      </x:c>
      <x:c r="C3" s="27" t="str">
        <x:v>Uso</x:v>
      </x:c>
    </x:row>
    <x:row r="4" ht="34.1796875" hidden="0" customHeight="1">
      <x:c r="A4" s="12" t="str">
        <x:v>Latest Date</x:v>
      </x:c>
      <x:c r="B4" s="12" t="str">
        <x:v>'Latest Date = MAX(Daily_Log[Date])'</x:v>
      </x:c>
      <x:c r="C4" s="12" t="str">
        <x:v>Fecha más reciente cargada.</x:v>
      </x:c>
    </x:row>
    <x:row r="5" ht="17.08984375" hidden="0" customHeight="1">
      <x:c r="A5" s="12" t="str">
        <x:v>Days Logged</x:v>
      </x:c>
      <x:c r="B5" s="12" t="str">
        <x:v>'Days Logged = COUNTROWS(FILTER(Daily_Log, NOT ISBLANK(Daily_Log[Date])))'</x:v>
      </x:c>
      <x:c r="C5" s="12" t="str">
        <x:v>Cuenta días con registro.</x:v>
      </x:c>
    </x:row>
    <x:row r="6" ht="34.1796875" hidden="0" customHeight="1">
      <x:c r="A6" s="12" t="str">
        <x:v>Latest Recovery</x:v>
      </x:c>
      <x:c r="B6" s="12" t="str">
        <x:v>'Latest Recovery = CALCULATE(MAX(Daily_Log[Recovery Score]), FILTER(Daily_Log, Daily_Log[Date] = [Latest Date]))'</x:v>
      </x:c>
      <x:c r="C6" s="12" t="str">
        <x:v>KPI principal.</x:v>
      </x:c>
    </x:row>
    <x:row r="7" ht="34.1796875" hidden="0" customHeight="1">
      <x:c r="A7" s="12" t="str">
        <x:v>Latest Strain</x:v>
      </x:c>
      <x:c r="B7" s="12" t="str">
        <x:v>'Latest Strain = CALCULATE(MAX(Daily_Log[Strain Score]), FILTER(Daily_Log, Daily_Log[Date] = [Latest Date]))'</x:v>
      </x:c>
      <x:c r="C7" s="12" t="str">
        <x:v>Carga más reciente.</x:v>
      </x:c>
    </x:row>
    <x:row r="8" ht="34.1796875" hidden="0" customHeight="1">
      <x:c r="A8" s="12" t="str">
        <x:v>Latest Balance</x:v>
      </x:c>
      <x:c r="B8" s="12" t="str">
        <x:v>'Latest Balance = CALCULATE(MAX(Daily_Log[Balance]), FILTER(Daily_Log, Daily_Log[Date] = [Latest Date]))'</x:v>
      </x:c>
      <x:c r="C8" s="12" t="str">
        <x:v>Fatiga neta del último día.</x:v>
      </x:c>
    </x:row>
    <x:row r="9" ht="17.08984375" hidden="0" customHeight="1">
      <x:c r="A9" s="12" t="str">
        <x:v>Avg Recovery</x:v>
      </x:c>
      <x:c r="B9" s="12" t="str">
        <x:v>'Avg Recovery = AVERAGE(Daily_Log[Recovery Score])'</x:v>
      </x:c>
      <x:c r="C9" s="12" t="str">
        <x:v>Media general.</x:v>
      </x:c>
    </x:row>
    <x:row r="10" ht="17.08984375" hidden="0" customHeight="1">
      <x:c r="A10" s="12" t="str">
        <x:v>Avg Strain</x:v>
      </x:c>
      <x:c r="B10" s="12" t="str">
        <x:v>'Avg Strain = AVERAGE(Daily_Log[Strain Score])'</x:v>
      </x:c>
      <x:c r="C10" s="12" t="str">
        <x:v>Media general.</x:v>
      </x:c>
    </x:row>
    <x:row r="11" ht="17.08984375" hidden="0" customHeight="1">
      <x:c r="A11" s="12" t="str">
        <x:v>Avg Balance</x:v>
      </x:c>
      <x:c r="B11" s="12" t="str">
        <x:v>'Avg Balance = AVERAGE(Daily_Log[Balance])'</x:v>
      </x:c>
      <x:c r="C11" s="12" t="str">
        <x:v>Media general.</x:v>
      </x:c>
    </x:row>
    <x:row r="12" ht="34.1796875" hidden="0" customHeight="1">
      <x:c r="A12" s="12" t="str">
        <x:v>Latest Recommendation</x:v>
      </x:c>
      <x:c r="B12" s="12" t="str">
        <x:v>'Latest Recommendation = CALCULATE(MAX(Daily_Log[Recommendation]), FILTER(Daily_Log, Daily_Log[Date] = [Latest Date]))'</x:v>
      </x:c>
      <x:c r="C12" s="12" t="str">
        <x:v>Texto para tarjeta.</x:v>
      </x:c>
    </x:row>
    <x:row r="13" ht="51.26953125" hidden="0" customHeight="1">
      <x:c r="A13" s="12" t="str">
        <x:v>Recommendation Color</x:v>
      </x:c>
      <x:c r="B13" s="12" t="str">
        <x:v>'Recommendation Color = SWITCH([Latest Recommendation], "Recuperación activa / descanso", "#C00000", "Entrenamiento moderado", "#BF9000", "Entrena fuerte / alto rendimiento", "#38761D", "#808080")'</x:v>
      </x:c>
      <x:c r="C13" s="12" t="str">
        <x:v>Color condicional.</x:v>
      </x:c>
    </x:row>
    <x:row r="14" ht="34.1796875" hidden="0" customHeight="1">
      <x:c r="A14" s="12" t="str">
        <x:v>Recovery Status</x:v>
      </x:c>
      <x:c r="B14" s="12" t="str">
        <x:v>'Recovery Status = SWITCH(TRUE(), [Latest Recovery] &lt; 40, "Rojo", [Latest Recovery] &lt; 70, "Amarillo", "Verde")'</x:v>
      </x:c>
      <x:c r="C14" s="12" t="str">
        <x:v>Semáforo simple.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d8397ed1fe6438c"/>
  </x:tableParts>
</x:worksheet>
</file>